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<sst xmlns="http://schemas.openxmlformats.org/spreadsheetml/2006/main" count="159" uniqueCount="25">
  <si>
    <r>
      <rPr>
        <sz val="14"/>
        <color rgb="FF000000"/>
        <rFont val="Times New Roman"/>
        <charset val="134"/>
      </rPr>
      <t>KunPeng920F(36threads)-</t>
    </r>
    <r>
      <rPr>
        <sz val="14"/>
        <color rgb="FF000000"/>
        <rFont val="宋体-简"/>
        <charset val="134"/>
      </rPr>
      <t>算力折算✖</t>
    </r>
    <r>
      <rPr>
        <sz val="14"/>
        <color rgb="FF000000"/>
        <rFont val="Times New Roman"/>
        <charset val="134"/>
      </rPr>
      <t>️8.6</t>
    </r>
    <r>
      <rPr>
        <sz val="14"/>
        <color rgb="FF000000"/>
        <rFont val="宋体-简"/>
        <charset val="134"/>
      </rPr>
      <t>倍</t>
    </r>
  </si>
  <si>
    <r>
      <rPr>
        <sz val="14"/>
        <color rgb="FF000000"/>
        <rFont val="宋体-简"/>
        <charset val="134"/>
      </rPr>
      <t>算力折算➗</t>
    </r>
    <r>
      <rPr>
        <sz val="14"/>
        <color rgb="FF000000"/>
        <rFont val="Times New Roman"/>
        <charset val="134"/>
      </rPr>
      <t>9.5</t>
    </r>
    <r>
      <rPr>
        <sz val="14"/>
        <color rgb="FF000000"/>
        <rFont val="宋体-简"/>
        <charset val="134"/>
      </rPr>
      <t>倍</t>
    </r>
    <r>
      <rPr>
        <sz val="14"/>
        <color rgb="FF000000"/>
        <rFont val="Times New Roman"/>
        <charset val="134"/>
      </rPr>
      <t>-KunPeng920-5250(36threads)--</t>
    </r>
    <r>
      <rPr>
        <sz val="14"/>
        <color rgb="FF000000"/>
        <rFont val="宋体-简"/>
        <charset val="134"/>
      </rPr>
      <t>总算力</t>
    </r>
    <r>
      <rPr>
        <sz val="14"/>
        <color rgb="FF000000"/>
        <rFont val="Times New Roman"/>
        <charset val="134"/>
      </rPr>
      <t>=2.6GHZ*4FLOPS*2*36=748.8GFLOPS</t>
    </r>
  </si>
  <si>
    <t>算力折算➗3.5倍-AMD-EPYC 7663 (36threads)--总算力=3.541GHz*4*4*2*36=2039.76GFLOPS</t>
  </si>
  <si>
    <t>KP920-F</t>
  </si>
  <si>
    <t>ID</t>
  </si>
  <si>
    <t>M</t>
  </si>
  <si>
    <t>N</t>
  </si>
  <si>
    <t>K</t>
  </si>
  <si>
    <t>KML_BLAS</t>
  </si>
  <si>
    <t>% to peak</t>
  </si>
  <si>
    <t>ours-methods</t>
  </si>
  <si>
    <t>提升Effi / %</t>
  </si>
  <si>
    <t>Speed/baseline</t>
  </si>
  <si>
    <t>Speed/openblas</t>
  </si>
  <si>
    <t>Speed/blis</t>
  </si>
  <si>
    <t>Speed/armpl</t>
  </si>
  <si>
    <t>Speed/libxsmm</t>
  </si>
  <si>
    <t>Openblas</t>
  </si>
  <si>
    <t>Blis</t>
  </si>
  <si>
    <t>ArmPL</t>
  </si>
  <si>
    <t>Libxsmm</t>
  </si>
  <si>
    <t>KP920-5250</t>
  </si>
  <si>
    <t>AMD-EPYC 7663</t>
  </si>
  <si>
    <t>RippleGEMM</t>
  </si>
  <si>
    <t>ours-method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</si>
</sst>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4"/>
      <color rgb="FF000000"/>
      <name val="Times New Roman"/>
      <charset val="134"/>
    </font>
    <font>
      <sz val="14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/>
    <xf numFmtId="17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5"/>
  <sheetViews>
    <sheetView tabSelected="1" topLeftCell="AS1" workbookViewId="0">
      <selection activeCell="N11" sqref="N11"/>
    </sheetView>
  </sheetViews>
  <sheetFormatPr defaultColWidth="9.84615384615385" defaultRowHeight="16.8"/>
  <cols>
    <col min="1" max="1" width="16.4903846153846" style="1" customWidth="1"/>
    <col min="2" max="2" width="9.84615384615385" style="1"/>
    <col min="3" max="5" width="9.84615384615385" style="1" customWidth="1"/>
    <col min="6" max="6" width="25.4807692307692" style="1" customWidth="1"/>
    <col min="7" max="7" width="15.375" style="1" customWidth="1"/>
    <col min="8" max="8" width="18.9038461538462" style="1" customWidth="1"/>
    <col min="9" max="9" width="22.2692307692308" style="1" customWidth="1"/>
    <col min="10" max="10" width="16.8173076923077" style="1" customWidth="1"/>
    <col min="11" max="12" width="20.6730769230769" style="1" customWidth="1"/>
    <col min="13" max="13" width="15.0576923076923" style="1" customWidth="1"/>
    <col min="14" max="14" width="14.7307692307692" style="1" customWidth="1"/>
    <col min="15" max="15" width="20.8365384615385" style="1" customWidth="1"/>
    <col min="16" max="16" width="20.9711538461538" style="1" customWidth="1"/>
    <col min="17" max="17" width="19.3173076923077" style="1" customWidth="1"/>
    <col min="18" max="18" width="22.1442307692308" style="1" customWidth="1"/>
    <col min="19" max="19" width="19.7980769230769" style="1" customWidth="1"/>
    <col min="20" max="20" width="21.2019230769231" style="1" customWidth="1"/>
    <col min="21" max="21" width="20.4903846153846" style="1" customWidth="1"/>
    <col min="22" max="22" width="22.8557692307692" style="1" customWidth="1"/>
    <col min="23" max="23" width="22.1538461538462" style="1" customWidth="1"/>
    <col min="24" max="24" width="17.6730769230769" style="1" customWidth="1"/>
    <col min="25" max="25" width="9.84615384615385" style="1"/>
    <col min="26" max="26" width="20.9903846153846" style="1" customWidth="1"/>
    <col min="27" max="27" width="12.3365384615385" style="1" customWidth="1"/>
    <col min="28" max="28" width="20.9903846153846" style="1" customWidth="1"/>
    <col min="29" max="29" width="12.3365384615385" style="1" customWidth="1"/>
    <col min="30" max="30" width="20.9903846153846" style="1" customWidth="1"/>
    <col min="31" max="31" width="12.1730769230769" style="1" customWidth="1"/>
    <col min="32" max="32" width="20.3461538461538" style="1" customWidth="1"/>
    <col min="33" max="33" width="11.5288461538462" style="1" customWidth="1"/>
    <col min="34" max="34" width="20.3461538461538" style="1" customWidth="1"/>
    <col min="35" max="35" width="11.7019230769231" style="1" customWidth="1"/>
    <col min="36" max="36" width="17.7788461538462" style="1" customWidth="1"/>
    <col min="37" max="38" width="17.9423076923077" style="1" customWidth="1"/>
    <col min="39" max="39" width="18.7403846153846" style="1" customWidth="1"/>
    <col min="40" max="40" width="22.7211538461538" style="1" customWidth="1"/>
    <col min="41" max="42" width="16.0192307692308" style="1" customWidth="1"/>
    <col min="43" max="43" width="14.2788461538462" style="1" customWidth="1"/>
    <col min="44" max="44" width="17.4807692307692" style="1" customWidth="1"/>
    <col min="45" max="45" width="15.4423076923077" style="1" customWidth="1"/>
    <col min="46" max="46" width="16.0192307692308" style="1" customWidth="1"/>
    <col min="47" max="47" width="15.7307692307692" style="1" customWidth="1"/>
    <col min="48" max="48" width="23.2596153846154" style="1" customWidth="1"/>
    <col min="49" max="49" width="17" style="1" customWidth="1"/>
    <col min="50" max="50" width="20.125" style="1" customWidth="1"/>
    <col min="51" max="51" width="19.9230769230769" style="1" customWidth="1"/>
    <col min="52" max="52" width="20.5192307692308" style="1" customWidth="1"/>
    <col min="53" max="16367" width="9.84615384615385" style="1"/>
  </cols>
  <sheetData>
    <row r="1" s="1" customFormat="1" spans="23:40">
      <c r="W1" s="4"/>
      <c r="X1" s="4"/>
      <c r="AN1" s="4"/>
    </row>
    <row r="2" s="1" customFormat="1" ht="21" spans="6:53">
      <c r="F2" s="5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4"/>
      <c r="Z2" s="13" t="s">
        <v>1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4"/>
      <c r="AO2" s="13" t="s">
        <v>2</v>
      </c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="1" customFormat="1" ht="20.4" spans="1:52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9</v>
      </c>
      <c r="J3" s="6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3" t="s">
        <v>17</v>
      </c>
      <c r="Q3" s="3" t="s">
        <v>9</v>
      </c>
      <c r="R3" s="3" t="s">
        <v>18</v>
      </c>
      <c r="S3" s="3" t="s">
        <v>9</v>
      </c>
      <c r="T3" s="3" t="s">
        <v>19</v>
      </c>
      <c r="U3" s="3" t="s">
        <v>9</v>
      </c>
      <c r="V3" s="3" t="s">
        <v>20</v>
      </c>
      <c r="W3" s="3" t="s">
        <v>9</v>
      </c>
      <c r="X3" s="2" t="s">
        <v>21</v>
      </c>
      <c r="Y3" s="3" t="s">
        <v>4</v>
      </c>
      <c r="Z3" s="3" t="s">
        <v>17</v>
      </c>
      <c r="AA3" s="3" t="s">
        <v>9</v>
      </c>
      <c r="AB3" s="3" t="s">
        <v>18</v>
      </c>
      <c r="AC3" s="3" t="s">
        <v>9</v>
      </c>
      <c r="AD3" s="3" t="s">
        <v>19</v>
      </c>
      <c r="AE3" s="3" t="s">
        <v>9</v>
      </c>
      <c r="AF3" s="3" t="s">
        <v>20</v>
      </c>
      <c r="AG3" s="3" t="s">
        <v>9</v>
      </c>
      <c r="AH3" s="3" t="s">
        <v>10</v>
      </c>
      <c r="AI3" s="3" t="s">
        <v>9</v>
      </c>
      <c r="AJ3" s="7" t="s">
        <v>13</v>
      </c>
      <c r="AK3" s="7" t="s">
        <v>14</v>
      </c>
      <c r="AL3" s="7" t="s">
        <v>15</v>
      </c>
      <c r="AM3" s="7" t="s">
        <v>16</v>
      </c>
      <c r="AN3" s="2" t="s">
        <v>22</v>
      </c>
      <c r="AO3" s="3" t="s">
        <v>4</v>
      </c>
      <c r="AP3" s="3" t="s">
        <v>17</v>
      </c>
      <c r="AQ3" s="3" t="s">
        <v>9</v>
      </c>
      <c r="AR3" s="3" t="s">
        <v>18</v>
      </c>
      <c r="AS3" s="3" t="s">
        <v>9</v>
      </c>
      <c r="AT3" s="3" t="s">
        <v>20</v>
      </c>
      <c r="AU3" s="3" t="s">
        <v>9</v>
      </c>
      <c r="AV3" s="9" t="s">
        <v>23</v>
      </c>
      <c r="AW3" s="9" t="s">
        <v>9</v>
      </c>
      <c r="AX3" s="7" t="s">
        <v>13</v>
      </c>
      <c r="AY3" s="7" t="s">
        <v>14</v>
      </c>
      <c r="AZ3" s="7" t="s">
        <v>16</v>
      </c>
    </row>
    <row r="4" s="1" customFormat="1" ht="20.4" spans="1:52">
      <c r="A4" s="2"/>
      <c r="B4" s="3">
        <v>1</v>
      </c>
      <c r="C4" s="3">
        <v>2688</v>
      </c>
      <c r="D4" s="3">
        <v>77440</v>
      </c>
      <c r="E4" s="3">
        <v>1920</v>
      </c>
      <c r="F4" s="3">
        <v>3539</v>
      </c>
      <c r="G4" s="3">
        <v>49.5</v>
      </c>
      <c r="H4" s="3">
        <v>5059</v>
      </c>
      <c r="I4" s="3">
        <v>70.8</v>
      </c>
      <c r="J4" s="6">
        <v>21.3</v>
      </c>
      <c r="K4" s="8">
        <f t="shared" ref="K4:K25" si="0">H4/F4</f>
        <v>1.42949985871715</v>
      </c>
      <c r="L4" s="8">
        <f t="shared" ref="L4:L25" si="1">H4/P4</f>
        <v>1.69121643893134</v>
      </c>
      <c r="M4" s="8">
        <f t="shared" ref="M4:M25" si="2">H4/R4</f>
        <v>1.67180821772224</v>
      </c>
      <c r="N4" s="8">
        <f t="shared" ref="N4:N25" si="3">H4/T4</f>
        <v>1.76571209783281</v>
      </c>
      <c r="O4" s="8">
        <f t="shared" ref="O4:O25" si="4">H4/V4</f>
        <v>16.9575040055776</v>
      </c>
      <c r="P4" s="9">
        <f t="shared" ref="P4:T4" si="5">Z4*8.6</f>
        <v>2991.338</v>
      </c>
      <c r="Q4" s="9">
        <f t="shared" ref="Q4:U4" si="6">P4/7142.4*100</f>
        <v>41.8814124103943</v>
      </c>
      <c r="R4" s="9">
        <f t="shared" si="5"/>
        <v>3026.0648</v>
      </c>
      <c r="S4" s="9">
        <f t="shared" si="6"/>
        <v>42.3676187275986</v>
      </c>
      <c r="T4" s="9">
        <f t="shared" si="5"/>
        <v>2865.133</v>
      </c>
      <c r="U4" s="9">
        <f t="shared" si="6"/>
        <v>40.1144293234767</v>
      </c>
      <c r="V4" s="9">
        <f t="shared" ref="V4:V25" si="7">AF4*8.6</f>
        <v>298.334</v>
      </c>
      <c r="W4" s="9">
        <f t="shared" ref="W4:W25" si="8">V4/7142.4*100</f>
        <v>4.17694332437276</v>
      </c>
      <c r="X4" s="2"/>
      <c r="Y4" s="3">
        <v>1</v>
      </c>
      <c r="Z4" s="3">
        <v>347.83</v>
      </c>
      <c r="AA4" s="9">
        <f t="shared" ref="AA4:AA25" si="9">(Z4/748.8)*100</f>
        <v>46.451655982906</v>
      </c>
      <c r="AB4" s="3">
        <v>351.868</v>
      </c>
      <c r="AC4" s="9">
        <f t="shared" ref="AC4:AG4" si="10">AB4/748.8*100</f>
        <v>46.9909188034188</v>
      </c>
      <c r="AD4" s="3">
        <v>333.155</v>
      </c>
      <c r="AE4" s="9">
        <f t="shared" si="10"/>
        <v>44.4918536324786</v>
      </c>
      <c r="AF4" s="3">
        <v>34.69</v>
      </c>
      <c r="AG4" s="9">
        <f t="shared" si="10"/>
        <v>4.63274572649573</v>
      </c>
      <c r="AH4" s="9">
        <f t="shared" ref="AH4:AH25" si="11">H4/9.5</f>
        <v>532.526315789474</v>
      </c>
      <c r="AI4" s="9">
        <f t="shared" ref="AI4:AI25" si="12">AH4/748.8*100</f>
        <v>71.1172964462438</v>
      </c>
      <c r="AJ4" s="8">
        <f t="shared" ref="AJ4:AJ25" si="13">AH4/Z4</f>
        <v>1.53099593419048</v>
      </c>
      <c r="AK4" s="8">
        <f t="shared" ref="AK4:AK25" si="14">AH4/AB4</f>
        <v>1.5134263865696</v>
      </c>
      <c r="AL4" s="8">
        <f t="shared" ref="AL4:AL25" si="15">AH4/AD4</f>
        <v>1.59843410961707</v>
      </c>
      <c r="AM4" s="8">
        <f t="shared" ref="AM4:AM25" si="16">AH4/AF4</f>
        <v>15.3510036261019</v>
      </c>
      <c r="AN4" s="2"/>
      <c r="AO4" s="3">
        <v>1</v>
      </c>
      <c r="AP4" s="9">
        <v>999.14</v>
      </c>
      <c r="AQ4" s="9">
        <f t="shared" ref="AQ4:AU4" si="17">AP4/2039.76*100</f>
        <v>48.983213711417</v>
      </c>
      <c r="AR4" s="9">
        <v>1121.608</v>
      </c>
      <c r="AS4" s="9">
        <f t="shared" si="17"/>
        <v>54.9872534023611</v>
      </c>
      <c r="AT4" s="9">
        <v>355.66</v>
      </c>
      <c r="AU4" s="9">
        <f t="shared" si="17"/>
        <v>17.4363650625564</v>
      </c>
      <c r="AV4" s="9">
        <f t="shared" ref="AV4:AV25" si="18">H4/3.5</f>
        <v>1445.42857142857</v>
      </c>
      <c r="AW4" s="9">
        <f t="shared" ref="AW4:AW25" si="19">AV4/2039.76*100</f>
        <v>70.8626785224032</v>
      </c>
      <c r="AX4" s="8">
        <f t="shared" ref="AX4:AX25" si="20">AV4/AP4</f>
        <v>1.44667270995914</v>
      </c>
      <c r="AY4" s="8">
        <f t="shared" ref="AY4:AY25" si="21">AV4/AR4</f>
        <v>1.28871100369164</v>
      </c>
      <c r="AZ4" s="8">
        <f t="shared" ref="AZ4:AZ25" si="22">AV4/AT4</f>
        <v>4.06407403539496</v>
      </c>
    </row>
    <row r="5" s="1" customFormat="1" ht="20.4" spans="1:52">
      <c r="A5" s="2"/>
      <c r="B5" s="3">
        <v>2</v>
      </c>
      <c r="C5" s="3">
        <v>2688</v>
      </c>
      <c r="D5" s="3">
        <v>83200</v>
      </c>
      <c r="E5" s="3">
        <v>1920</v>
      </c>
      <c r="F5" s="3">
        <v>3640</v>
      </c>
      <c r="G5" s="3">
        <v>50.9</v>
      </c>
      <c r="H5" s="3">
        <v>5082</v>
      </c>
      <c r="I5" s="3">
        <v>71.1</v>
      </c>
      <c r="J5" s="6">
        <v>20.2</v>
      </c>
      <c r="K5" s="8">
        <f t="shared" si="0"/>
        <v>1.39615384615385</v>
      </c>
      <c r="L5" s="8">
        <f t="shared" si="1"/>
        <v>1.70071442053226</v>
      </c>
      <c r="M5" s="8">
        <f t="shared" si="2"/>
        <v>1.67793057078562</v>
      </c>
      <c r="N5" s="8">
        <f t="shared" si="3"/>
        <v>1.74836602431474</v>
      </c>
      <c r="O5" s="8">
        <f t="shared" si="4"/>
        <v>22.4517565561603</v>
      </c>
      <c r="P5" s="9">
        <f t="shared" ref="P5:T5" si="23">Z5*8.6</f>
        <v>2988.156</v>
      </c>
      <c r="Q5" s="9">
        <f t="shared" ref="Q5:U5" si="24">P5/7142.4*100</f>
        <v>41.8368615591398</v>
      </c>
      <c r="R5" s="9">
        <f t="shared" si="23"/>
        <v>3028.7308</v>
      </c>
      <c r="S5" s="9">
        <f t="shared" si="24"/>
        <v>42.4049451164875</v>
      </c>
      <c r="T5" s="9">
        <f t="shared" si="23"/>
        <v>2906.714</v>
      </c>
      <c r="U5" s="9">
        <f t="shared" si="24"/>
        <v>40.6966005824373</v>
      </c>
      <c r="V5" s="9">
        <f t="shared" si="7"/>
        <v>226.352</v>
      </c>
      <c r="W5" s="9">
        <f t="shared" si="8"/>
        <v>3.16913082437276</v>
      </c>
      <c r="X5" s="2"/>
      <c r="Y5" s="3">
        <v>2</v>
      </c>
      <c r="Z5" s="3">
        <v>347.46</v>
      </c>
      <c r="AA5" s="9">
        <f t="shared" si="9"/>
        <v>46.4022435897436</v>
      </c>
      <c r="AB5" s="3">
        <v>352.178</v>
      </c>
      <c r="AC5" s="9">
        <f t="shared" ref="AC5:AG5" si="25">AB5/748.8*100</f>
        <v>47.0323183760684</v>
      </c>
      <c r="AD5" s="3">
        <v>337.99</v>
      </c>
      <c r="AE5" s="9">
        <f t="shared" si="25"/>
        <v>45.1375534188034</v>
      </c>
      <c r="AF5" s="3">
        <v>26.32</v>
      </c>
      <c r="AG5" s="9">
        <f t="shared" si="25"/>
        <v>3.51495726495726</v>
      </c>
      <c r="AH5" s="9">
        <f t="shared" si="11"/>
        <v>534.947368421053</v>
      </c>
      <c r="AI5" s="9">
        <f t="shared" si="12"/>
        <v>71.440620782726</v>
      </c>
      <c r="AJ5" s="8">
        <f t="shared" si="13"/>
        <v>1.53959410700815</v>
      </c>
      <c r="AK5" s="8">
        <f t="shared" si="14"/>
        <v>1.51896872723751</v>
      </c>
      <c r="AL5" s="8">
        <f t="shared" si="15"/>
        <v>1.58273134832703</v>
      </c>
      <c r="AM5" s="8">
        <f t="shared" si="16"/>
        <v>20.3247480403135</v>
      </c>
      <c r="AN5" s="2"/>
      <c r="AO5" s="3">
        <v>2</v>
      </c>
      <c r="AP5" s="9">
        <v>995.01</v>
      </c>
      <c r="AQ5" s="9">
        <f t="shared" ref="AQ5:AU5" si="26">AP5/2039.76*100</f>
        <v>48.7807389104601</v>
      </c>
      <c r="AR5" s="9">
        <v>1121.206</v>
      </c>
      <c r="AS5" s="9">
        <f t="shared" si="26"/>
        <v>54.9675452013962</v>
      </c>
      <c r="AT5" s="9">
        <v>353.5</v>
      </c>
      <c r="AU5" s="9">
        <f t="shared" si="26"/>
        <v>17.3304702514021</v>
      </c>
      <c r="AV5" s="9">
        <f t="shared" si="18"/>
        <v>1452</v>
      </c>
      <c r="AW5" s="9">
        <f t="shared" si="19"/>
        <v>71.1848452759148</v>
      </c>
      <c r="AX5" s="8">
        <f t="shared" si="20"/>
        <v>1.45928181626315</v>
      </c>
      <c r="AY5" s="8">
        <f t="shared" si="21"/>
        <v>1.29503409721318</v>
      </c>
      <c r="AZ5" s="8">
        <f t="shared" si="22"/>
        <v>4.10749646393211</v>
      </c>
    </row>
    <row r="6" s="1" customFormat="1" ht="20.4" spans="1:52">
      <c r="A6" s="2"/>
      <c r="B6" s="3">
        <v>3</v>
      </c>
      <c r="C6" s="3">
        <v>2688</v>
      </c>
      <c r="D6" s="3">
        <v>74368</v>
      </c>
      <c r="E6" s="3">
        <v>1920</v>
      </c>
      <c r="F6" s="3">
        <v>3537</v>
      </c>
      <c r="G6" s="3">
        <v>49.5</v>
      </c>
      <c r="H6" s="3">
        <v>4930</v>
      </c>
      <c r="I6" s="3">
        <v>69.2</v>
      </c>
      <c r="J6" s="6">
        <v>19.7</v>
      </c>
      <c r="K6" s="8">
        <f t="shared" si="0"/>
        <v>1.39383658467628</v>
      </c>
      <c r="L6" s="8">
        <f t="shared" si="1"/>
        <v>1.63815458065236</v>
      </c>
      <c r="M6" s="8">
        <f t="shared" si="2"/>
        <v>1.62652987011582</v>
      </c>
      <c r="N6" s="8">
        <f t="shared" si="3"/>
        <v>1.70254618717717</v>
      </c>
      <c r="O6" s="8">
        <f t="shared" si="4"/>
        <v>14.5718305529611</v>
      </c>
      <c r="P6" s="9">
        <f t="shared" ref="P6:T6" si="27">Z6*8.6</f>
        <v>3009.484</v>
      </c>
      <c r="Q6" s="9">
        <f t="shared" ref="Q6:U6" si="28">P6/7142.4*100</f>
        <v>42.1354726702509</v>
      </c>
      <c r="R6" s="9">
        <f t="shared" si="27"/>
        <v>3030.9926</v>
      </c>
      <c r="S6" s="9">
        <f t="shared" si="28"/>
        <v>42.43661234319</v>
      </c>
      <c r="T6" s="9">
        <f t="shared" si="27"/>
        <v>2895.663</v>
      </c>
      <c r="U6" s="9">
        <f t="shared" si="28"/>
        <v>40.5418766801075</v>
      </c>
      <c r="V6" s="9">
        <f t="shared" si="7"/>
        <v>338.324</v>
      </c>
      <c r="W6" s="9">
        <f t="shared" si="8"/>
        <v>4.73683915770609</v>
      </c>
      <c r="X6" s="2"/>
      <c r="Y6" s="3">
        <v>3</v>
      </c>
      <c r="Z6" s="3">
        <v>349.94</v>
      </c>
      <c r="AA6" s="9">
        <f t="shared" si="9"/>
        <v>46.7334401709402</v>
      </c>
      <c r="AB6" s="3">
        <v>352.441</v>
      </c>
      <c r="AC6" s="9">
        <f t="shared" ref="AC6:AG6" si="29">AB6/748.8*100</f>
        <v>47.0674412393162</v>
      </c>
      <c r="AD6" s="3">
        <v>336.705</v>
      </c>
      <c r="AE6" s="9">
        <f t="shared" si="29"/>
        <v>44.9659455128205</v>
      </c>
      <c r="AF6" s="3">
        <v>39.34</v>
      </c>
      <c r="AG6" s="9">
        <f t="shared" si="29"/>
        <v>5.25373931623932</v>
      </c>
      <c r="AH6" s="9">
        <f t="shared" si="11"/>
        <v>518.947368421053</v>
      </c>
      <c r="AI6" s="9">
        <f t="shared" si="12"/>
        <v>69.3038686459739</v>
      </c>
      <c r="AJ6" s="8">
        <f t="shared" si="13"/>
        <v>1.48296098880109</v>
      </c>
      <c r="AK6" s="8">
        <f t="shared" si="14"/>
        <v>1.47243756663116</v>
      </c>
      <c r="AL6" s="8">
        <f t="shared" si="15"/>
        <v>1.54125233786565</v>
      </c>
      <c r="AM6" s="8">
        <f t="shared" si="16"/>
        <v>13.1913413426805</v>
      </c>
      <c r="AN6" s="2"/>
      <c r="AO6" s="3">
        <v>3</v>
      </c>
      <c r="AP6" s="9">
        <v>1005.12</v>
      </c>
      <c r="AQ6" s="9">
        <f t="shared" ref="AQ6:AU6" si="30">AP6/2039.76*100</f>
        <v>49.2763854571126</v>
      </c>
      <c r="AR6" s="9">
        <v>1115.654</v>
      </c>
      <c r="AS6" s="9">
        <f t="shared" si="30"/>
        <v>54.6953563164294</v>
      </c>
      <c r="AT6" s="9">
        <v>362.11</v>
      </c>
      <c r="AU6" s="9">
        <f t="shared" si="30"/>
        <v>17.7525787347531</v>
      </c>
      <c r="AV6" s="9">
        <f t="shared" si="18"/>
        <v>1408.57142857143</v>
      </c>
      <c r="AW6" s="9">
        <f t="shared" si="19"/>
        <v>69.0557432527076</v>
      </c>
      <c r="AX6" s="8">
        <f t="shared" si="20"/>
        <v>1.40139627961978</v>
      </c>
      <c r="AY6" s="8">
        <f t="shared" si="21"/>
        <v>1.26255221472914</v>
      </c>
      <c r="AZ6" s="8">
        <f t="shared" si="22"/>
        <v>3.8898992808026</v>
      </c>
    </row>
    <row r="7" s="1" customFormat="1" ht="20.4" spans="1:52">
      <c r="A7" s="2"/>
      <c r="B7" s="3">
        <v>4</v>
      </c>
      <c r="C7" s="3">
        <v>2688</v>
      </c>
      <c r="D7" s="3">
        <v>80128</v>
      </c>
      <c r="E7" s="3">
        <v>1920</v>
      </c>
      <c r="F7" s="3">
        <v>3651</v>
      </c>
      <c r="G7" s="3">
        <v>51.1</v>
      </c>
      <c r="H7" s="3">
        <v>5098</v>
      </c>
      <c r="I7" s="3">
        <v>71.3</v>
      </c>
      <c r="J7" s="6">
        <v>20.2</v>
      </c>
      <c r="K7" s="8">
        <f t="shared" si="0"/>
        <v>1.39632977266502</v>
      </c>
      <c r="L7" s="8">
        <f t="shared" si="1"/>
        <v>1.70029456652828</v>
      </c>
      <c r="M7" s="8">
        <f t="shared" si="2"/>
        <v>1.67986958043527</v>
      </c>
      <c r="N7" s="8">
        <f t="shared" si="3"/>
        <v>1.76914423668471</v>
      </c>
      <c r="O7" s="8">
        <f t="shared" si="4"/>
        <v>22.6342381700809</v>
      </c>
      <c r="P7" s="9">
        <f t="shared" ref="P7:T7" si="31">Z7*8.6</f>
        <v>2998.304</v>
      </c>
      <c r="Q7" s="9">
        <f t="shared" ref="Q7:U7" si="32">P7/7142.4*100</f>
        <v>41.9789426523297</v>
      </c>
      <c r="R7" s="9">
        <f t="shared" si="31"/>
        <v>3034.7594</v>
      </c>
      <c r="S7" s="9">
        <f t="shared" si="32"/>
        <v>42.4893509184588</v>
      </c>
      <c r="T7" s="9">
        <f t="shared" si="31"/>
        <v>2881.6192</v>
      </c>
      <c r="U7" s="9">
        <f t="shared" si="32"/>
        <v>40.3452508960574</v>
      </c>
      <c r="V7" s="9">
        <f t="shared" si="7"/>
        <v>225.234</v>
      </c>
      <c r="W7" s="9">
        <f t="shared" si="8"/>
        <v>3.15347782258065</v>
      </c>
      <c r="X7" s="2"/>
      <c r="Y7" s="3">
        <v>4</v>
      </c>
      <c r="Z7" s="3">
        <v>348.64</v>
      </c>
      <c r="AA7" s="9">
        <f t="shared" si="9"/>
        <v>46.5598290598291</v>
      </c>
      <c r="AB7" s="3">
        <v>352.879</v>
      </c>
      <c r="AC7" s="9">
        <f t="shared" ref="AC7:AG7" si="33">AB7/748.8*100</f>
        <v>47.1259348290598</v>
      </c>
      <c r="AD7" s="3">
        <v>335.072</v>
      </c>
      <c r="AE7" s="9">
        <f t="shared" si="33"/>
        <v>44.7478632478633</v>
      </c>
      <c r="AF7" s="3">
        <v>26.19</v>
      </c>
      <c r="AG7" s="9">
        <f t="shared" si="33"/>
        <v>3.49759615384615</v>
      </c>
      <c r="AH7" s="9">
        <f t="shared" si="11"/>
        <v>536.631578947368</v>
      </c>
      <c r="AI7" s="9">
        <f t="shared" si="12"/>
        <v>71.6655420602789</v>
      </c>
      <c r="AJ7" s="8">
        <f t="shared" si="13"/>
        <v>1.53921402864665</v>
      </c>
      <c r="AK7" s="8">
        <f t="shared" si="14"/>
        <v>1.52072404123614</v>
      </c>
      <c r="AL7" s="8">
        <f t="shared" si="15"/>
        <v>1.60154109847247</v>
      </c>
      <c r="AM7" s="8">
        <f t="shared" si="16"/>
        <v>20.489941922389</v>
      </c>
      <c r="AN7" s="2"/>
      <c r="AO7" s="3">
        <v>4</v>
      </c>
      <c r="AP7" s="9">
        <v>1006.42</v>
      </c>
      <c r="AQ7" s="9">
        <f t="shared" ref="AQ7:AU7" si="34">AP7/2039.76*100</f>
        <v>49.3401184453073</v>
      </c>
      <c r="AR7" s="9">
        <v>1115.803</v>
      </c>
      <c r="AS7" s="9">
        <f t="shared" si="34"/>
        <v>54.702661097384</v>
      </c>
      <c r="AT7" s="9">
        <v>354.04</v>
      </c>
      <c r="AU7" s="9">
        <f t="shared" si="34"/>
        <v>17.3569439541907</v>
      </c>
      <c r="AV7" s="9">
        <f t="shared" si="18"/>
        <v>1456.57142857143</v>
      </c>
      <c r="AW7" s="9">
        <f t="shared" si="19"/>
        <v>71.4089612783577</v>
      </c>
      <c r="AX7" s="8">
        <f t="shared" si="20"/>
        <v>1.44727989166693</v>
      </c>
      <c r="AY7" s="8">
        <f t="shared" si="21"/>
        <v>1.30540196483737</v>
      </c>
      <c r="AZ7" s="8">
        <f t="shared" si="22"/>
        <v>4.1141436802944</v>
      </c>
    </row>
    <row r="8" s="1" customFormat="1" ht="20.4" spans="1:52">
      <c r="A8" s="2"/>
      <c r="B8" s="3">
        <v>5</v>
      </c>
      <c r="C8" s="3">
        <v>2688</v>
      </c>
      <c r="D8" s="3">
        <v>31360</v>
      </c>
      <c r="E8" s="3">
        <v>1920</v>
      </c>
      <c r="F8" s="3">
        <v>3223</v>
      </c>
      <c r="G8" s="3">
        <v>45.1</v>
      </c>
      <c r="H8" s="3">
        <v>4477</v>
      </c>
      <c r="I8" s="3">
        <v>62.2</v>
      </c>
      <c r="J8" s="6">
        <v>17.1</v>
      </c>
      <c r="K8" s="8">
        <f t="shared" si="0"/>
        <v>1.38907849829352</v>
      </c>
      <c r="L8" s="8">
        <f t="shared" si="1"/>
        <v>1.50287651303108</v>
      </c>
      <c r="M8" s="8">
        <f t="shared" si="2"/>
        <v>1.47720381189194</v>
      </c>
      <c r="N8" s="8">
        <f t="shared" si="3"/>
        <v>1.54306690423762</v>
      </c>
      <c r="O8" s="8">
        <f t="shared" si="4"/>
        <v>14.2781512712243</v>
      </c>
      <c r="P8" s="9">
        <f t="shared" ref="P8:T8" si="35">Z8*8.6</f>
        <v>2978.954</v>
      </c>
      <c r="Q8" s="9">
        <f t="shared" ref="Q8:U8" si="36">P8/7142.4*100</f>
        <v>41.7080253136201</v>
      </c>
      <c r="R8" s="9">
        <f t="shared" si="35"/>
        <v>3030.726</v>
      </c>
      <c r="S8" s="9">
        <f t="shared" si="36"/>
        <v>42.4328797043011</v>
      </c>
      <c r="T8" s="9">
        <f t="shared" si="35"/>
        <v>2901.3648</v>
      </c>
      <c r="U8" s="9">
        <f t="shared" si="36"/>
        <v>40.6217069892473</v>
      </c>
      <c r="V8" s="9">
        <f t="shared" si="7"/>
        <v>313.556</v>
      </c>
      <c r="W8" s="9">
        <f t="shared" si="8"/>
        <v>4.39006496415771</v>
      </c>
      <c r="X8" s="2"/>
      <c r="Y8" s="3">
        <v>5</v>
      </c>
      <c r="Z8" s="3">
        <v>346.39</v>
      </c>
      <c r="AA8" s="9">
        <f t="shared" si="9"/>
        <v>46.2593482905983</v>
      </c>
      <c r="AB8" s="3">
        <v>352.41</v>
      </c>
      <c r="AC8" s="9">
        <f t="shared" ref="AC8:AG8" si="37">AB8/748.8*100</f>
        <v>47.0633012820513</v>
      </c>
      <c r="AD8" s="3">
        <v>337.368</v>
      </c>
      <c r="AE8" s="9">
        <f t="shared" si="37"/>
        <v>45.0544871794872</v>
      </c>
      <c r="AF8" s="3">
        <v>36.46</v>
      </c>
      <c r="AG8" s="9">
        <f t="shared" si="37"/>
        <v>4.86912393162393</v>
      </c>
      <c r="AH8" s="9">
        <f t="shared" si="11"/>
        <v>471.263157894737</v>
      </c>
      <c r="AI8" s="9">
        <f t="shared" si="12"/>
        <v>62.9357849752587</v>
      </c>
      <c r="AJ8" s="8">
        <f t="shared" si="13"/>
        <v>1.36049873811235</v>
      </c>
      <c r="AK8" s="8">
        <f t="shared" si="14"/>
        <v>1.33725818760744</v>
      </c>
      <c r="AL8" s="8">
        <f t="shared" si="15"/>
        <v>1.396881618573</v>
      </c>
      <c r="AM8" s="8">
        <f t="shared" si="16"/>
        <v>12.9254843086872</v>
      </c>
      <c r="AN8" s="2"/>
      <c r="AO8" s="3">
        <v>5</v>
      </c>
      <c r="AP8" s="9">
        <v>993.66</v>
      </c>
      <c r="AQ8" s="9">
        <f t="shared" ref="AQ8:AU8" si="38">AP8/2039.76*100</f>
        <v>48.7145546534886</v>
      </c>
      <c r="AR8" s="9">
        <v>1148.557</v>
      </c>
      <c r="AS8" s="9">
        <f t="shared" si="38"/>
        <v>56.308438247637</v>
      </c>
      <c r="AT8" s="9">
        <v>367.95</v>
      </c>
      <c r="AU8" s="9">
        <f t="shared" si="38"/>
        <v>18.0388869278739</v>
      </c>
      <c r="AV8" s="9">
        <f t="shared" si="18"/>
        <v>1279.14285714286</v>
      </c>
      <c r="AW8" s="9">
        <f t="shared" si="19"/>
        <v>62.710458933544</v>
      </c>
      <c r="AX8" s="8">
        <f t="shared" si="20"/>
        <v>1.28730436682855</v>
      </c>
      <c r="AY8" s="8">
        <f t="shared" si="21"/>
        <v>1.11369558249426</v>
      </c>
      <c r="AZ8" s="8">
        <f t="shared" si="22"/>
        <v>3.47640401452061</v>
      </c>
    </row>
    <row r="9" s="1" customFormat="1" ht="20.4" spans="1:52">
      <c r="A9" s="2"/>
      <c r="B9" s="3">
        <v>6</v>
      </c>
      <c r="C9" s="3">
        <v>2688</v>
      </c>
      <c r="D9" s="3">
        <v>47104</v>
      </c>
      <c r="E9" s="3">
        <v>1920</v>
      </c>
      <c r="F9" s="3">
        <v>3614</v>
      </c>
      <c r="G9" s="3">
        <v>50.6</v>
      </c>
      <c r="H9" s="3">
        <v>4705</v>
      </c>
      <c r="I9" s="3">
        <v>65.8</v>
      </c>
      <c r="J9" s="6">
        <v>15.2</v>
      </c>
      <c r="K9" s="8">
        <f t="shared" si="0"/>
        <v>1.30188157166574</v>
      </c>
      <c r="L9" s="8">
        <f t="shared" si="1"/>
        <v>1.59071038657812</v>
      </c>
      <c r="M9" s="8">
        <f t="shared" si="2"/>
        <v>1.54137196322696</v>
      </c>
      <c r="N9" s="8">
        <f t="shared" si="3"/>
        <v>1.66374124025209</v>
      </c>
      <c r="O9" s="8">
        <f t="shared" si="4"/>
        <v>22.9581629566015</v>
      </c>
      <c r="P9" s="9">
        <f t="shared" ref="P9:T9" si="39">Z9*8.6</f>
        <v>2957.798</v>
      </c>
      <c r="Q9" s="9">
        <f t="shared" ref="Q9:U9" si="40">P9/7142.4*100</f>
        <v>41.4118223566308</v>
      </c>
      <c r="R9" s="9">
        <f t="shared" si="39"/>
        <v>3052.4754</v>
      </c>
      <c r="S9" s="9">
        <f t="shared" si="40"/>
        <v>42.7373907930108</v>
      </c>
      <c r="T9" s="9">
        <f t="shared" si="39"/>
        <v>2827.9638</v>
      </c>
      <c r="U9" s="9">
        <f t="shared" si="40"/>
        <v>39.5940272177419</v>
      </c>
      <c r="V9" s="9">
        <f t="shared" si="7"/>
        <v>204.938</v>
      </c>
      <c r="W9" s="9">
        <f t="shared" si="8"/>
        <v>2.86931563620072</v>
      </c>
      <c r="X9" s="2"/>
      <c r="Y9" s="3">
        <v>6</v>
      </c>
      <c r="Z9" s="3">
        <v>343.93</v>
      </c>
      <c r="AA9" s="9">
        <f t="shared" si="9"/>
        <v>45.9308226495727</v>
      </c>
      <c r="AB9" s="3">
        <v>354.939</v>
      </c>
      <c r="AC9" s="9">
        <f t="shared" ref="AC9:AG9" si="41">AB9/748.8*100</f>
        <v>47.4010416666667</v>
      </c>
      <c r="AD9" s="3">
        <v>328.833</v>
      </c>
      <c r="AE9" s="9">
        <f t="shared" si="41"/>
        <v>43.9146634615385</v>
      </c>
      <c r="AF9" s="3">
        <v>23.83</v>
      </c>
      <c r="AG9" s="9">
        <f t="shared" si="41"/>
        <v>3.18242521367521</v>
      </c>
      <c r="AH9" s="9">
        <f t="shared" si="11"/>
        <v>495.263157894737</v>
      </c>
      <c r="AI9" s="9">
        <f t="shared" si="12"/>
        <v>66.1409131803869</v>
      </c>
      <c r="AJ9" s="8">
        <f t="shared" si="13"/>
        <v>1.44001150784967</v>
      </c>
      <c r="AK9" s="8">
        <f t="shared" si="14"/>
        <v>1.39534725092125</v>
      </c>
      <c r="AL9" s="8">
        <f t="shared" si="15"/>
        <v>1.50612364907031</v>
      </c>
      <c r="AM9" s="8">
        <f t="shared" si="16"/>
        <v>20.783179097555</v>
      </c>
      <c r="AN9" s="2"/>
      <c r="AO9" s="3">
        <v>6</v>
      </c>
      <c r="AP9" s="9">
        <v>966.53</v>
      </c>
      <c r="AQ9" s="9">
        <f t="shared" ref="AQ9:AU9" si="42">AP9/2039.76*100</f>
        <v>47.384496215241</v>
      </c>
      <c r="AR9" s="9">
        <v>1143.635</v>
      </c>
      <c r="AS9" s="9">
        <f t="shared" si="42"/>
        <v>56.0671353492568</v>
      </c>
      <c r="AT9" s="9">
        <v>359.96</v>
      </c>
      <c r="AU9" s="9">
        <f t="shared" si="42"/>
        <v>17.6471741773542</v>
      </c>
      <c r="AV9" s="9">
        <f t="shared" si="18"/>
        <v>1344.28571428571</v>
      </c>
      <c r="AW9" s="9">
        <f t="shared" si="19"/>
        <v>65.9041119683548</v>
      </c>
      <c r="AX9" s="8">
        <f t="shared" si="20"/>
        <v>1.39083702966873</v>
      </c>
      <c r="AY9" s="8">
        <f t="shared" si="21"/>
        <v>1.1754499593714</v>
      </c>
      <c r="AZ9" s="8">
        <f t="shared" si="22"/>
        <v>3.73454193323068</v>
      </c>
    </row>
    <row r="10" s="1" customFormat="1" ht="20.4" spans="1:52">
      <c r="A10" s="2"/>
      <c r="B10" s="3">
        <v>7</v>
      </c>
      <c r="C10" s="3">
        <v>2688</v>
      </c>
      <c r="D10" s="3">
        <v>44416</v>
      </c>
      <c r="E10" s="3">
        <v>1920</v>
      </c>
      <c r="F10" s="3">
        <v>3525</v>
      </c>
      <c r="G10" s="3">
        <v>49.3</v>
      </c>
      <c r="H10" s="3">
        <v>4285</v>
      </c>
      <c r="I10" s="3">
        <v>56</v>
      </c>
      <c r="J10" s="6">
        <v>6.7</v>
      </c>
      <c r="K10" s="8">
        <f t="shared" si="0"/>
        <v>1.21560283687943</v>
      </c>
      <c r="L10" s="8">
        <f t="shared" si="1"/>
        <v>1.43676522954378</v>
      </c>
      <c r="M10" s="8">
        <f t="shared" si="2"/>
        <v>1.41642094986081</v>
      </c>
      <c r="N10" s="8">
        <f t="shared" si="3"/>
        <v>1.49106066504716</v>
      </c>
      <c r="O10" s="8">
        <f t="shared" si="4"/>
        <v>13.4992092645215</v>
      </c>
      <c r="P10" s="9">
        <f t="shared" ref="P10:T10" si="43">Z10*8.6</f>
        <v>2982.394</v>
      </c>
      <c r="Q10" s="9">
        <f t="shared" ref="Q10:U10" si="44">P10/7142.4*100</f>
        <v>41.7561883960574</v>
      </c>
      <c r="R10" s="9">
        <f t="shared" si="43"/>
        <v>3025.2306</v>
      </c>
      <c r="S10" s="9">
        <f t="shared" si="44"/>
        <v>42.3559391801075</v>
      </c>
      <c r="T10" s="9">
        <f t="shared" si="43"/>
        <v>2873.7932</v>
      </c>
      <c r="U10" s="9">
        <f t="shared" si="44"/>
        <v>40.2356798835125</v>
      </c>
      <c r="V10" s="9">
        <f t="shared" si="7"/>
        <v>317.426</v>
      </c>
      <c r="W10" s="9">
        <f t="shared" si="8"/>
        <v>4.44424843189964</v>
      </c>
      <c r="X10" s="2"/>
      <c r="Y10" s="3">
        <v>7</v>
      </c>
      <c r="Z10" s="3">
        <v>346.79</v>
      </c>
      <c r="AA10" s="9">
        <f t="shared" si="9"/>
        <v>46.3127670940171</v>
      </c>
      <c r="AB10" s="3">
        <v>351.771</v>
      </c>
      <c r="AC10" s="9">
        <f t="shared" ref="AC10:AG10" si="45">AB10/748.8*100</f>
        <v>46.9779647435898</v>
      </c>
      <c r="AD10" s="3">
        <v>334.162</v>
      </c>
      <c r="AE10" s="9">
        <f t="shared" si="45"/>
        <v>44.6263354700855</v>
      </c>
      <c r="AF10" s="3">
        <v>36.91</v>
      </c>
      <c r="AG10" s="9">
        <f t="shared" si="45"/>
        <v>4.92922008547009</v>
      </c>
      <c r="AH10" s="9">
        <f t="shared" si="11"/>
        <v>451.052631578947</v>
      </c>
      <c r="AI10" s="9">
        <f t="shared" si="12"/>
        <v>60.2367296446244</v>
      </c>
      <c r="AJ10" s="8">
        <f t="shared" si="13"/>
        <v>1.30065062885016</v>
      </c>
      <c r="AK10" s="8">
        <f t="shared" si="14"/>
        <v>1.28223370197926</v>
      </c>
      <c r="AL10" s="8">
        <f t="shared" si="15"/>
        <v>1.34980228625322</v>
      </c>
      <c r="AM10" s="8">
        <f t="shared" si="16"/>
        <v>12.2203368078826</v>
      </c>
      <c r="AN10" s="2"/>
      <c r="AO10" s="3">
        <v>7</v>
      </c>
      <c r="AP10" s="9">
        <v>995.35</v>
      </c>
      <c r="AQ10" s="9">
        <f t="shared" ref="AQ10:AU10" si="46">AP10/2039.76*100</f>
        <v>48.7974075381417</v>
      </c>
      <c r="AR10" s="9">
        <v>1147.93</v>
      </c>
      <c r="AS10" s="9">
        <f t="shared" si="46"/>
        <v>56.2776993371769</v>
      </c>
      <c r="AT10" s="9">
        <v>365.04</v>
      </c>
      <c r="AU10" s="9">
        <f t="shared" si="46"/>
        <v>17.8962230850688</v>
      </c>
      <c r="AV10" s="9">
        <f t="shared" si="18"/>
        <v>1224.28571428571</v>
      </c>
      <c r="AW10" s="9">
        <f t="shared" si="19"/>
        <v>60.0210669042296</v>
      </c>
      <c r="AX10" s="8">
        <f t="shared" si="20"/>
        <v>1.23000523864542</v>
      </c>
      <c r="AY10" s="8">
        <f t="shared" si="21"/>
        <v>1.0665160020957</v>
      </c>
      <c r="AZ10" s="8">
        <f t="shared" si="22"/>
        <v>3.35383989230143</v>
      </c>
    </row>
    <row r="11" s="1" customFormat="1" ht="20.4" spans="1:52">
      <c r="A11" s="2"/>
      <c r="B11" s="3">
        <v>8</v>
      </c>
      <c r="C11" s="3">
        <v>2688</v>
      </c>
      <c r="D11" s="3">
        <v>83968</v>
      </c>
      <c r="E11" s="3">
        <v>1920</v>
      </c>
      <c r="F11" s="3">
        <v>3606</v>
      </c>
      <c r="G11" s="3">
        <v>50.4</v>
      </c>
      <c r="H11" s="3">
        <v>5026</v>
      </c>
      <c r="I11" s="3">
        <v>70.3</v>
      </c>
      <c r="J11" s="6">
        <v>19.9</v>
      </c>
      <c r="K11" s="8">
        <f t="shared" si="0"/>
        <v>1.39378813089296</v>
      </c>
      <c r="L11" s="8">
        <f t="shared" si="1"/>
        <v>1.69357425713215</v>
      </c>
      <c r="M11" s="8">
        <f t="shared" si="2"/>
        <v>1.65275819891053</v>
      </c>
      <c r="N11" s="8">
        <f t="shared" si="3"/>
        <v>1.73845633517217</v>
      </c>
      <c r="O11" s="8">
        <f t="shared" si="4"/>
        <v>24.0007640513825</v>
      </c>
      <c r="P11" s="9">
        <f t="shared" ref="P11:T11" si="47">Z11*8.6</f>
        <v>2967.688</v>
      </c>
      <c r="Q11" s="9">
        <f t="shared" ref="Q11:U11" si="48">P11/7142.4*100</f>
        <v>41.550291218638</v>
      </c>
      <c r="R11" s="9">
        <f t="shared" si="47"/>
        <v>3040.9772</v>
      </c>
      <c r="S11" s="9">
        <f t="shared" si="48"/>
        <v>42.5764056899642</v>
      </c>
      <c r="T11" s="9">
        <f t="shared" si="47"/>
        <v>2891.0706</v>
      </c>
      <c r="U11" s="9">
        <f t="shared" si="48"/>
        <v>40.4775789650538</v>
      </c>
      <c r="V11" s="9">
        <f t="shared" si="7"/>
        <v>209.41</v>
      </c>
      <c r="W11" s="9">
        <f t="shared" si="8"/>
        <v>2.93192764336918</v>
      </c>
      <c r="X11" s="2"/>
      <c r="Y11" s="3">
        <v>8</v>
      </c>
      <c r="Z11" s="3">
        <v>345.08</v>
      </c>
      <c r="AA11" s="9">
        <f t="shared" si="9"/>
        <v>46.0844017094017</v>
      </c>
      <c r="AB11" s="3">
        <v>353.602</v>
      </c>
      <c r="AC11" s="9">
        <f t="shared" ref="AC11:AG11" si="49">AB11/748.8*100</f>
        <v>47.2224893162393</v>
      </c>
      <c r="AD11" s="3">
        <v>336.171</v>
      </c>
      <c r="AE11" s="9">
        <f t="shared" si="49"/>
        <v>44.8946314102564</v>
      </c>
      <c r="AF11" s="3">
        <v>24.35</v>
      </c>
      <c r="AG11" s="9">
        <f t="shared" si="49"/>
        <v>3.25186965811966</v>
      </c>
      <c r="AH11" s="9">
        <f t="shared" si="11"/>
        <v>529.052631578947</v>
      </c>
      <c r="AI11" s="9">
        <f t="shared" si="12"/>
        <v>70.6533963112911</v>
      </c>
      <c r="AJ11" s="8">
        <f t="shared" si="13"/>
        <v>1.53313038014068</v>
      </c>
      <c r="AK11" s="8">
        <f t="shared" si="14"/>
        <v>1.49618110638217</v>
      </c>
      <c r="AL11" s="8">
        <f t="shared" si="15"/>
        <v>1.57376047184007</v>
      </c>
      <c r="AM11" s="8">
        <f t="shared" si="16"/>
        <v>21.727007457041</v>
      </c>
      <c r="AN11" s="2"/>
      <c r="AO11" s="3">
        <v>8</v>
      </c>
      <c r="AP11" s="9">
        <v>965.94</v>
      </c>
      <c r="AQ11" s="9">
        <f t="shared" ref="AQ11:AU11" si="50">AP11/2039.76*100</f>
        <v>47.3555712436757</v>
      </c>
      <c r="AR11" s="9">
        <v>1114.655</v>
      </c>
      <c r="AS11" s="9">
        <f t="shared" si="50"/>
        <v>54.6463799662705</v>
      </c>
      <c r="AT11" s="9">
        <v>364.53</v>
      </c>
      <c r="AU11" s="9">
        <f t="shared" si="50"/>
        <v>17.8712201435463</v>
      </c>
      <c r="AV11" s="9">
        <f t="shared" si="18"/>
        <v>1436</v>
      </c>
      <c r="AW11" s="9">
        <f t="shared" si="19"/>
        <v>70.4004392673648</v>
      </c>
      <c r="AX11" s="8">
        <f t="shared" si="20"/>
        <v>1.4866347806282</v>
      </c>
      <c r="AY11" s="8">
        <f t="shared" si="21"/>
        <v>1.28829099586868</v>
      </c>
      <c r="AZ11" s="8">
        <f t="shared" si="22"/>
        <v>3.9393191232546</v>
      </c>
    </row>
    <row r="12" s="1" customFormat="1" ht="20.4" spans="1:52">
      <c r="A12" s="2"/>
      <c r="B12" s="3">
        <v>9</v>
      </c>
      <c r="C12" s="3">
        <v>2688</v>
      </c>
      <c r="D12" s="3">
        <v>82048</v>
      </c>
      <c r="E12" s="3">
        <v>1920</v>
      </c>
      <c r="F12" s="3">
        <v>3640</v>
      </c>
      <c r="G12" s="3">
        <v>50.9</v>
      </c>
      <c r="H12" s="3">
        <v>5018</v>
      </c>
      <c r="I12" s="3">
        <v>70.2</v>
      </c>
      <c r="J12" s="6">
        <v>19.3</v>
      </c>
      <c r="K12" s="8">
        <f t="shared" si="0"/>
        <v>1.37857142857143</v>
      </c>
      <c r="L12" s="8">
        <f t="shared" si="1"/>
        <v>1.67944153381407</v>
      </c>
      <c r="M12" s="8">
        <f t="shared" si="2"/>
        <v>1.65522981371705</v>
      </c>
      <c r="N12" s="8">
        <f t="shared" si="3"/>
        <v>1.77583649224376</v>
      </c>
      <c r="O12" s="8">
        <f t="shared" si="4"/>
        <v>17.5221733361268</v>
      </c>
      <c r="P12" s="9">
        <f t="shared" ref="P12:T12" si="51">Z12*8.6</f>
        <v>2987.898</v>
      </c>
      <c r="Q12" s="9">
        <f t="shared" ref="Q12:U12" si="52">P12/7142.4*100</f>
        <v>41.833249327957</v>
      </c>
      <c r="R12" s="9">
        <f t="shared" si="51"/>
        <v>3031.6032</v>
      </c>
      <c r="S12" s="9">
        <f t="shared" si="52"/>
        <v>42.4451612903226</v>
      </c>
      <c r="T12" s="9">
        <f t="shared" si="51"/>
        <v>2825.7106</v>
      </c>
      <c r="U12" s="9">
        <f t="shared" si="52"/>
        <v>39.5624803987455</v>
      </c>
      <c r="V12" s="9">
        <f t="shared" si="7"/>
        <v>286.38</v>
      </c>
      <c r="W12" s="9">
        <f t="shared" si="8"/>
        <v>4.00957661290323</v>
      </c>
      <c r="X12" s="2"/>
      <c r="Y12" s="3">
        <v>9</v>
      </c>
      <c r="Z12" s="3">
        <v>347.43</v>
      </c>
      <c r="AA12" s="9">
        <f t="shared" si="9"/>
        <v>46.3982371794872</v>
      </c>
      <c r="AB12" s="3">
        <v>352.512</v>
      </c>
      <c r="AC12" s="9">
        <f t="shared" ref="AC12:AG12" si="53">AB12/748.8*100</f>
        <v>47.0769230769231</v>
      </c>
      <c r="AD12" s="3">
        <v>328.571</v>
      </c>
      <c r="AE12" s="9">
        <f t="shared" si="53"/>
        <v>43.8796741452992</v>
      </c>
      <c r="AF12" s="3">
        <v>33.3</v>
      </c>
      <c r="AG12" s="9">
        <f t="shared" si="53"/>
        <v>4.44711538461539</v>
      </c>
      <c r="AH12" s="9">
        <f t="shared" si="11"/>
        <v>528.210526315789</v>
      </c>
      <c r="AI12" s="9">
        <f t="shared" si="12"/>
        <v>70.5409356725146</v>
      </c>
      <c r="AJ12" s="8">
        <f t="shared" si="13"/>
        <v>1.52033654640011</v>
      </c>
      <c r="AK12" s="8">
        <f t="shared" si="14"/>
        <v>1.49841856820701</v>
      </c>
      <c r="AL12" s="8">
        <f t="shared" si="15"/>
        <v>1.6075993508733</v>
      </c>
      <c r="AM12" s="8">
        <f t="shared" si="16"/>
        <v>15.8621779674411</v>
      </c>
      <c r="AN12" s="2"/>
      <c r="AO12" s="3">
        <v>9</v>
      </c>
      <c r="AP12" s="9">
        <v>1002.13</v>
      </c>
      <c r="AQ12" s="9">
        <f t="shared" ref="AQ12:AU12" si="54">AP12/2039.76*100</f>
        <v>49.1297995842648</v>
      </c>
      <c r="AR12" s="9">
        <v>1129.419</v>
      </c>
      <c r="AS12" s="9">
        <f t="shared" si="54"/>
        <v>55.3701906106601</v>
      </c>
      <c r="AT12" s="9">
        <v>355.19</v>
      </c>
      <c r="AU12" s="9">
        <f t="shared" si="54"/>
        <v>17.4133231360552</v>
      </c>
      <c r="AV12" s="9">
        <f t="shared" si="18"/>
        <v>1433.71428571429</v>
      </c>
      <c r="AW12" s="9">
        <f t="shared" si="19"/>
        <v>70.2883812661434</v>
      </c>
      <c r="AX12" s="8">
        <f t="shared" si="20"/>
        <v>1.43066696507867</v>
      </c>
      <c r="AY12" s="8">
        <f t="shared" si="21"/>
        <v>1.2694263915467</v>
      </c>
      <c r="AZ12" s="8">
        <f t="shared" si="22"/>
        <v>4.03647142575603</v>
      </c>
    </row>
    <row r="13" s="1" customFormat="1" ht="20.4" spans="1:52">
      <c r="A13" s="2"/>
      <c r="B13" s="3">
        <v>10</v>
      </c>
      <c r="C13" s="3">
        <v>2688</v>
      </c>
      <c r="D13" s="3">
        <v>79744</v>
      </c>
      <c r="E13" s="3">
        <v>1920</v>
      </c>
      <c r="F13" s="3">
        <v>3625</v>
      </c>
      <c r="G13" s="3">
        <v>50.7</v>
      </c>
      <c r="H13" s="3">
        <v>4736</v>
      </c>
      <c r="I13" s="3">
        <v>66.3</v>
      </c>
      <c r="J13" s="6">
        <v>15.6</v>
      </c>
      <c r="K13" s="8">
        <f t="shared" si="0"/>
        <v>1.30648275862069</v>
      </c>
      <c r="L13" s="8">
        <f t="shared" si="1"/>
        <v>1.58369330923016</v>
      </c>
      <c r="M13" s="8">
        <f t="shared" si="2"/>
        <v>1.56728265684591</v>
      </c>
      <c r="N13" s="8">
        <f t="shared" si="3"/>
        <v>1.63830829724281</v>
      </c>
      <c r="O13" s="8">
        <f t="shared" si="4"/>
        <v>13.1745855124068</v>
      </c>
      <c r="P13" s="9">
        <f t="shared" ref="P13:T13" si="55">Z13*8.6</f>
        <v>2990.478</v>
      </c>
      <c r="Q13" s="9">
        <f t="shared" ref="Q13:U13" si="56">P13/7142.4*100</f>
        <v>41.8693716397849</v>
      </c>
      <c r="R13" s="9">
        <f t="shared" si="55"/>
        <v>3021.7906</v>
      </c>
      <c r="S13" s="9">
        <f t="shared" si="56"/>
        <v>42.3077760976702</v>
      </c>
      <c r="T13" s="9">
        <f t="shared" si="55"/>
        <v>2890.7868</v>
      </c>
      <c r="U13" s="9">
        <f t="shared" si="56"/>
        <v>40.4736055107527</v>
      </c>
      <c r="V13" s="9">
        <f t="shared" si="7"/>
        <v>359.48</v>
      </c>
      <c r="W13" s="9">
        <f t="shared" si="8"/>
        <v>5.03304211469534</v>
      </c>
      <c r="X13" s="2"/>
      <c r="Y13" s="3">
        <v>10</v>
      </c>
      <c r="Z13" s="3">
        <v>347.73</v>
      </c>
      <c r="AA13" s="9">
        <f t="shared" si="9"/>
        <v>46.4383012820513</v>
      </c>
      <c r="AB13" s="3">
        <v>351.371</v>
      </c>
      <c r="AC13" s="9">
        <f t="shared" ref="AC13:AG13" si="57">AB13/748.8*100</f>
        <v>46.9245459401709</v>
      </c>
      <c r="AD13" s="3">
        <v>336.138</v>
      </c>
      <c r="AE13" s="9">
        <f t="shared" si="57"/>
        <v>44.8902243589744</v>
      </c>
      <c r="AF13" s="3">
        <v>41.8</v>
      </c>
      <c r="AG13" s="9">
        <f t="shared" si="57"/>
        <v>5.58226495726496</v>
      </c>
      <c r="AH13" s="9">
        <f t="shared" si="11"/>
        <v>498.526315789474</v>
      </c>
      <c r="AI13" s="9">
        <f t="shared" si="12"/>
        <v>66.5766981556455</v>
      </c>
      <c r="AJ13" s="8">
        <f t="shared" si="13"/>
        <v>1.43365920625046</v>
      </c>
      <c r="AK13" s="8">
        <f t="shared" si="14"/>
        <v>1.41880324724998</v>
      </c>
      <c r="AL13" s="8">
        <f t="shared" si="15"/>
        <v>1.48310014276718</v>
      </c>
      <c r="AM13" s="8">
        <f t="shared" si="16"/>
        <v>11.9264668849156</v>
      </c>
      <c r="AN13" s="2"/>
      <c r="AO13" s="3">
        <v>10</v>
      </c>
      <c r="AP13" s="9">
        <v>999.42</v>
      </c>
      <c r="AQ13" s="9">
        <f t="shared" ref="AQ13:AU13" si="58">AP13/2039.76*100</f>
        <v>48.9969408165667</v>
      </c>
      <c r="AR13" s="9">
        <v>1124.456</v>
      </c>
      <c r="AS13" s="9">
        <f t="shared" si="58"/>
        <v>55.126877671883</v>
      </c>
      <c r="AT13" s="9">
        <v>354.84</v>
      </c>
      <c r="AU13" s="9">
        <f t="shared" si="58"/>
        <v>17.3961642546182</v>
      </c>
      <c r="AV13" s="9">
        <f t="shared" si="18"/>
        <v>1353.14285714286</v>
      </c>
      <c r="AW13" s="9">
        <f t="shared" si="19"/>
        <v>66.3383367230879</v>
      </c>
      <c r="AX13" s="8">
        <f t="shared" si="20"/>
        <v>1.35392813546142</v>
      </c>
      <c r="AY13" s="8">
        <f t="shared" si="21"/>
        <v>1.20337554972614</v>
      </c>
      <c r="AZ13" s="8">
        <f t="shared" si="22"/>
        <v>3.81338873053449</v>
      </c>
    </row>
    <row r="14" s="1" customFormat="1" ht="20.4" spans="1:52">
      <c r="A14" s="2"/>
      <c r="B14" s="3">
        <v>11</v>
      </c>
      <c r="C14" s="3">
        <v>2688</v>
      </c>
      <c r="D14" s="3">
        <v>78976</v>
      </c>
      <c r="E14" s="3">
        <v>1920</v>
      </c>
      <c r="F14" s="3">
        <v>3631</v>
      </c>
      <c r="G14" s="3">
        <v>50.8</v>
      </c>
      <c r="H14" s="3">
        <v>4933</v>
      </c>
      <c r="I14" s="3">
        <v>69</v>
      </c>
      <c r="J14" s="6">
        <v>18.2</v>
      </c>
      <c r="K14" s="8">
        <f t="shared" si="0"/>
        <v>1.35857890388323</v>
      </c>
      <c r="L14" s="8">
        <f t="shared" si="1"/>
        <v>1.64800508867089</v>
      </c>
      <c r="M14" s="8">
        <f t="shared" si="2"/>
        <v>1.62484108968504</v>
      </c>
      <c r="N14" s="8">
        <f t="shared" si="3"/>
        <v>1.70868230909381</v>
      </c>
      <c r="O14" s="8">
        <f t="shared" si="4"/>
        <v>17.1378742504568</v>
      </c>
      <c r="P14" s="9">
        <f t="shared" ref="P14:T14" si="59">Z14*8.6</f>
        <v>2993.316</v>
      </c>
      <c r="Q14" s="9">
        <f t="shared" ref="Q14:U14" si="60">P14/7142.4*100</f>
        <v>41.9091061827957</v>
      </c>
      <c r="R14" s="9">
        <f t="shared" si="59"/>
        <v>3035.9892</v>
      </c>
      <c r="S14" s="9">
        <f t="shared" si="60"/>
        <v>42.5065692204301</v>
      </c>
      <c r="T14" s="9">
        <f t="shared" si="59"/>
        <v>2887.02</v>
      </c>
      <c r="U14" s="9">
        <f t="shared" si="60"/>
        <v>40.4208669354839</v>
      </c>
      <c r="V14" s="9">
        <f t="shared" si="7"/>
        <v>287.842</v>
      </c>
      <c r="W14" s="9">
        <f t="shared" si="8"/>
        <v>4.03004592293907</v>
      </c>
      <c r="X14" s="2"/>
      <c r="Y14" s="3">
        <v>11</v>
      </c>
      <c r="Z14" s="3">
        <v>348.06</v>
      </c>
      <c r="AA14" s="9">
        <f t="shared" si="9"/>
        <v>46.4823717948718</v>
      </c>
      <c r="AB14" s="3">
        <v>353.022</v>
      </c>
      <c r="AC14" s="9">
        <f t="shared" ref="AC14:AG14" si="61">AB14/748.8*100</f>
        <v>47.1450320512821</v>
      </c>
      <c r="AD14" s="3">
        <v>335.7</v>
      </c>
      <c r="AE14" s="9">
        <f t="shared" si="61"/>
        <v>44.8317307692308</v>
      </c>
      <c r="AF14" s="3">
        <v>33.47</v>
      </c>
      <c r="AG14" s="9">
        <f t="shared" si="61"/>
        <v>4.46981837606838</v>
      </c>
      <c r="AH14" s="9">
        <f t="shared" si="11"/>
        <v>519.263157894737</v>
      </c>
      <c r="AI14" s="9">
        <f t="shared" si="12"/>
        <v>69.3460413855151</v>
      </c>
      <c r="AJ14" s="8">
        <f t="shared" si="13"/>
        <v>1.49187829079681</v>
      </c>
      <c r="AK14" s="8">
        <f t="shared" si="14"/>
        <v>1.4709087759254</v>
      </c>
      <c r="AL14" s="8">
        <f t="shared" si="15"/>
        <v>1.54680714296913</v>
      </c>
      <c r="AM14" s="8">
        <f t="shared" si="16"/>
        <v>15.5142861635715</v>
      </c>
      <c r="AN14" s="2"/>
      <c r="AO14" s="3">
        <v>11</v>
      </c>
      <c r="AP14" s="9">
        <v>999.05</v>
      </c>
      <c r="AQ14" s="9">
        <f t="shared" ref="AQ14:AU14" si="62">AP14/2039.76*100</f>
        <v>48.9788014276189</v>
      </c>
      <c r="AR14" s="9">
        <v>1122.352</v>
      </c>
      <c r="AS14" s="9">
        <f t="shared" si="62"/>
        <v>55.0237282817586</v>
      </c>
      <c r="AT14" s="9">
        <v>355.37</v>
      </c>
      <c r="AU14" s="9">
        <f t="shared" si="62"/>
        <v>17.4221477036514</v>
      </c>
      <c r="AV14" s="9">
        <f t="shared" si="18"/>
        <v>1409.42857142857</v>
      </c>
      <c r="AW14" s="9">
        <f t="shared" si="19"/>
        <v>69.0977650031656</v>
      </c>
      <c r="AX14" s="8">
        <f t="shared" si="20"/>
        <v>1.41076880179027</v>
      </c>
      <c r="AY14" s="8">
        <f t="shared" si="21"/>
        <v>1.25578122677072</v>
      </c>
      <c r="AZ14" s="8">
        <f t="shared" si="22"/>
        <v>3.96608765913997</v>
      </c>
    </row>
    <row r="15" s="1" customFormat="1" ht="20.4" spans="1:52">
      <c r="A15" s="2"/>
      <c r="B15" s="3">
        <v>12</v>
      </c>
      <c r="C15" s="3">
        <v>2688</v>
      </c>
      <c r="D15" s="3">
        <v>83584</v>
      </c>
      <c r="E15" s="3">
        <v>1920</v>
      </c>
      <c r="F15" s="3">
        <v>3569</v>
      </c>
      <c r="G15" s="3">
        <v>49.9</v>
      </c>
      <c r="H15" s="3">
        <v>4998</v>
      </c>
      <c r="I15" s="3">
        <v>69.9</v>
      </c>
      <c r="J15" s="6">
        <v>20</v>
      </c>
      <c r="K15" s="8">
        <f t="shared" si="0"/>
        <v>1.40039226674138</v>
      </c>
      <c r="L15" s="8">
        <f t="shared" si="1"/>
        <v>1.66996003188895</v>
      </c>
      <c r="M15" s="8">
        <f t="shared" si="2"/>
        <v>1.64703472455371</v>
      </c>
      <c r="N15" s="8">
        <f t="shared" si="3"/>
        <v>1.7528714931961</v>
      </c>
      <c r="O15" s="8">
        <f t="shared" si="4"/>
        <v>18.0991214792175</v>
      </c>
      <c r="P15" s="9">
        <f t="shared" ref="P15:T15" si="63">Z15*8.6</f>
        <v>2992.886</v>
      </c>
      <c r="Q15" s="9">
        <f t="shared" ref="Q15:U15" si="64">P15/7142.4*100</f>
        <v>41.903085797491</v>
      </c>
      <c r="R15" s="9">
        <f t="shared" si="63"/>
        <v>3034.5444</v>
      </c>
      <c r="S15" s="9">
        <f t="shared" si="64"/>
        <v>42.4863407258064</v>
      </c>
      <c r="T15" s="9">
        <f t="shared" si="63"/>
        <v>2851.3214</v>
      </c>
      <c r="U15" s="9">
        <f t="shared" si="64"/>
        <v>39.921054547491</v>
      </c>
      <c r="V15" s="9">
        <f t="shared" si="7"/>
        <v>276.146</v>
      </c>
      <c r="W15" s="9">
        <f t="shared" si="8"/>
        <v>3.86629144265233</v>
      </c>
      <c r="X15" s="2"/>
      <c r="Y15" s="3">
        <v>12</v>
      </c>
      <c r="Z15" s="3">
        <v>348.01</v>
      </c>
      <c r="AA15" s="9">
        <f t="shared" si="9"/>
        <v>46.4756944444444</v>
      </c>
      <c r="AB15" s="3">
        <v>352.854</v>
      </c>
      <c r="AC15" s="9">
        <f t="shared" ref="AC15:AG15" si="65">AB15/748.8*100</f>
        <v>47.1225961538462</v>
      </c>
      <c r="AD15" s="3">
        <v>331.549</v>
      </c>
      <c r="AE15" s="9">
        <f t="shared" si="65"/>
        <v>44.2773771367521</v>
      </c>
      <c r="AF15" s="3">
        <v>32.11</v>
      </c>
      <c r="AG15" s="9">
        <f t="shared" si="65"/>
        <v>4.28819444444444</v>
      </c>
      <c r="AH15" s="9">
        <f t="shared" si="11"/>
        <v>526.105263157895</v>
      </c>
      <c r="AI15" s="9">
        <f t="shared" si="12"/>
        <v>70.2597840755735</v>
      </c>
      <c r="AJ15" s="8">
        <f t="shared" si="13"/>
        <v>1.51175329202579</v>
      </c>
      <c r="AK15" s="8">
        <f t="shared" si="14"/>
        <v>1.49099985591178</v>
      </c>
      <c r="AL15" s="8">
        <f t="shared" si="15"/>
        <v>1.58680998331437</v>
      </c>
      <c r="AM15" s="8">
        <f t="shared" si="16"/>
        <v>16.3844678653969</v>
      </c>
      <c r="AN15" s="2"/>
      <c r="AO15" s="3">
        <v>12</v>
      </c>
      <c r="AP15" s="9">
        <v>999.82</v>
      </c>
      <c r="AQ15" s="9">
        <f t="shared" ref="AQ15:AU15" si="66">AP15/2039.76*100</f>
        <v>49.0165509667804</v>
      </c>
      <c r="AR15" s="9">
        <v>1128.16</v>
      </c>
      <c r="AS15" s="9">
        <f t="shared" si="66"/>
        <v>55.3084676628623</v>
      </c>
      <c r="AT15" s="9">
        <v>353.19</v>
      </c>
      <c r="AU15" s="9">
        <f t="shared" si="66"/>
        <v>17.3152723849865</v>
      </c>
      <c r="AV15" s="9">
        <f t="shared" si="18"/>
        <v>1428</v>
      </c>
      <c r="AW15" s="9">
        <f t="shared" si="19"/>
        <v>70.0082362630898</v>
      </c>
      <c r="AX15" s="8">
        <f t="shared" si="20"/>
        <v>1.42825708627553</v>
      </c>
      <c r="AY15" s="8">
        <f t="shared" si="21"/>
        <v>1.26577790384343</v>
      </c>
      <c r="AZ15" s="8">
        <f t="shared" si="22"/>
        <v>4.04314957954642</v>
      </c>
    </row>
    <row r="16" s="1" customFormat="1" ht="20.4" spans="1:52">
      <c r="A16" s="2"/>
      <c r="B16" s="3">
        <v>13</v>
      </c>
      <c r="C16" s="3">
        <v>2688</v>
      </c>
      <c r="D16" s="3">
        <v>81664</v>
      </c>
      <c r="E16" s="3">
        <v>1920</v>
      </c>
      <c r="F16" s="3">
        <v>3564</v>
      </c>
      <c r="G16" s="3">
        <v>49.9</v>
      </c>
      <c r="H16" s="3">
        <v>5095</v>
      </c>
      <c r="I16" s="3">
        <v>71.3</v>
      </c>
      <c r="J16" s="6">
        <v>21.4</v>
      </c>
      <c r="K16" s="8">
        <f t="shared" si="0"/>
        <v>1.42957351290685</v>
      </c>
      <c r="L16" s="8">
        <f t="shared" si="1"/>
        <v>1.71483692388884</v>
      </c>
      <c r="M16" s="8">
        <f t="shared" si="2"/>
        <v>1.6822084679898</v>
      </c>
      <c r="N16" s="8">
        <f t="shared" si="3"/>
        <v>1.81100114773753</v>
      </c>
      <c r="O16" s="8">
        <f t="shared" si="4"/>
        <v>22.534874875052</v>
      </c>
      <c r="P16" s="9">
        <f t="shared" ref="P16:T16" si="67">Z16*8.6</f>
        <v>2971.128</v>
      </c>
      <c r="Q16" s="9">
        <f t="shared" ref="Q16:U16" si="68">P16/7142.4*100</f>
        <v>41.5984543010753</v>
      </c>
      <c r="R16" s="9">
        <f t="shared" si="67"/>
        <v>3028.7566</v>
      </c>
      <c r="S16" s="9">
        <f t="shared" si="68"/>
        <v>42.4053063396057</v>
      </c>
      <c r="T16" s="9">
        <f t="shared" si="67"/>
        <v>2813.361</v>
      </c>
      <c r="U16" s="9">
        <f t="shared" si="68"/>
        <v>39.3895749327957</v>
      </c>
      <c r="V16" s="9">
        <f t="shared" si="7"/>
        <v>226.094</v>
      </c>
      <c r="W16" s="9">
        <f t="shared" si="8"/>
        <v>3.16551859318996</v>
      </c>
      <c r="X16" s="2"/>
      <c r="Y16" s="3">
        <v>13</v>
      </c>
      <c r="Z16" s="3">
        <v>345.48</v>
      </c>
      <c r="AA16" s="9">
        <f t="shared" si="9"/>
        <v>46.1378205128205</v>
      </c>
      <c r="AB16" s="3">
        <v>352.181</v>
      </c>
      <c r="AC16" s="9">
        <f t="shared" ref="AC16:AG16" si="69">AB16/748.8*100</f>
        <v>47.032719017094</v>
      </c>
      <c r="AD16" s="3">
        <v>327.135</v>
      </c>
      <c r="AE16" s="9">
        <f t="shared" si="69"/>
        <v>43.6879006410256</v>
      </c>
      <c r="AF16" s="3">
        <v>26.29</v>
      </c>
      <c r="AG16" s="9">
        <f t="shared" si="69"/>
        <v>3.51095085470085</v>
      </c>
      <c r="AH16" s="9">
        <f t="shared" si="11"/>
        <v>536.315789473684</v>
      </c>
      <c r="AI16" s="9">
        <f t="shared" si="12"/>
        <v>71.6233693207377</v>
      </c>
      <c r="AJ16" s="8">
        <f t="shared" si="13"/>
        <v>1.55237868899411</v>
      </c>
      <c r="AK16" s="8">
        <f t="shared" si="14"/>
        <v>1.52284134996971</v>
      </c>
      <c r="AL16" s="8">
        <f t="shared" si="15"/>
        <v>1.63943261795187</v>
      </c>
      <c r="AM16" s="8">
        <f t="shared" si="16"/>
        <v>20.3999919921523</v>
      </c>
      <c r="AN16" s="2"/>
      <c r="AO16" s="3">
        <v>13</v>
      </c>
      <c r="AP16" s="9">
        <v>1004.08</v>
      </c>
      <c r="AQ16" s="9">
        <f t="shared" ref="AQ16:AU16" si="70">AP16/2039.76*100</f>
        <v>49.2253990665569</v>
      </c>
      <c r="AR16" s="9">
        <v>1119.473</v>
      </c>
      <c r="AS16" s="9">
        <f t="shared" si="70"/>
        <v>54.8825842255952</v>
      </c>
      <c r="AT16" s="9">
        <v>353.48</v>
      </c>
      <c r="AU16" s="9">
        <f t="shared" si="70"/>
        <v>17.3294897438914</v>
      </c>
      <c r="AV16" s="9">
        <f t="shared" si="18"/>
        <v>1455.71428571429</v>
      </c>
      <c r="AW16" s="9">
        <f t="shared" si="19"/>
        <v>71.3669395278996</v>
      </c>
      <c r="AX16" s="8">
        <f t="shared" si="20"/>
        <v>1.4497991053644</v>
      </c>
      <c r="AY16" s="8">
        <f t="shared" si="21"/>
        <v>1.30035676225714</v>
      </c>
      <c r="AZ16" s="8">
        <f t="shared" si="22"/>
        <v>4.11823663492782</v>
      </c>
    </row>
    <row r="17" s="1" customFormat="1" ht="20.4" spans="1:52">
      <c r="A17" s="2"/>
      <c r="B17" s="3">
        <v>14</v>
      </c>
      <c r="C17" s="3">
        <v>2688</v>
      </c>
      <c r="D17" s="3">
        <v>81280</v>
      </c>
      <c r="E17" s="3">
        <v>1920</v>
      </c>
      <c r="F17" s="3">
        <v>3606</v>
      </c>
      <c r="G17" s="3">
        <v>50.4</v>
      </c>
      <c r="H17" s="3">
        <v>4706</v>
      </c>
      <c r="I17" s="3">
        <v>65.8</v>
      </c>
      <c r="J17" s="6">
        <v>15.4</v>
      </c>
      <c r="K17" s="8">
        <f t="shared" si="0"/>
        <v>1.30504714364947</v>
      </c>
      <c r="L17" s="8">
        <f t="shared" si="1"/>
        <v>1.57253089926312</v>
      </c>
      <c r="M17" s="8">
        <f t="shared" si="2"/>
        <v>1.54900952920643</v>
      </c>
      <c r="N17" s="8">
        <f t="shared" si="3"/>
        <v>1.66903852670075</v>
      </c>
      <c r="O17" s="8">
        <f t="shared" si="4"/>
        <v>16.2184144139176</v>
      </c>
      <c r="P17" s="9">
        <f t="shared" ref="P17:T17" si="71">Z17*8.6</f>
        <v>2992.628</v>
      </c>
      <c r="Q17" s="9">
        <f t="shared" ref="Q17:U17" si="72">P17/7142.4*100</f>
        <v>41.8994735663082</v>
      </c>
      <c r="R17" s="9">
        <f t="shared" si="71"/>
        <v>3038.0704</v>
      </c>
      <c r="S17" s="9">
        <f t="shared" si="72"/>
        <v>42.5357078853047</v>
      </c>
      <c r="T17" s="9">
        <f t="shared" si="71"/>
        <v>2819.5874</v>
      </c>
      <c r="U17" s="9">
        <f t="shared" si="72"/>
        <v>39.4767501120072</v>
      </c>
      <c r="V17" s="9">
        <f t="shared" si="7"/>
        <v>290.164</v>
      </c>
      <c r="W17" s="9">
        <f t="shared" si="8"/>
        <v>4.06255600358423</v>
      </c>
      <c r="X17" s="2"/>
      <c r="Y17" s="3">
        <v>14</v>
      </c>
      <c r="Z17" s="3">
        <v>347.98</v>
      </c>
      <c r="AA17" s="9">
        <f t="shared" si="9"/>
        <v>46.471688034188</v>
      </c>
      <c r="AB17" s="3">
        <v>353.264</v>
      </c>
      <c r="AC17" s="9">
        <f t="shared" ref="AC17:AG17" si="73">AB17/748.8*100</f>
        <v>47.1773504273504</v>
      </c>
      <c r="AD17" s="3">
        <v>327.859</v>
      </c>
      <c r="AE17" s="9">
        <f t="shared" si="73"/>
        <v>43.7845886752137</v>
      </c>
      <c r="AF17" s="3">
        <v>33.74</v>
      </c>
      <c r="AG17" s="9">
        <f t="shared" si="73"/>
        <v>4.50587606837607</v>
      </c>
      <c r="AH17" s="9">
        <f t="shared" si="11"/>
        <v>495.368421052632</v>
      </c>
      <c r="AI17" s="9">
        <f t="shared" si="12"/>
        <v>66.1549707602339</v>
      </c>
      <c r="AJ17" s="8">
        <f t="shared" si="13"/>
        <v>1.42355428775398</v>
      </c>
      <c r="AK17" s="8">
        <f t="shared" si="14"/>
        <v>1.40226125801846</v>
      </c>
      <c r="AL17" s="8">
        <f t="shared" si="15"/>
        <v>1.5109190873291</v>
      </c>
      <c r="AM17" s="8">
        <f t="shared" si="16"/>
        <v>14.6819330483886</v>
      </c>
      <c r="AN17" s="2"/>
      <c r="AO17" s="3">
        <v>14</v>
      </c>
      <c r="AP17" s="9">
        <v>1000.43</v>
      </c>
      <c r="AQ17" s="9">
        <f t="shared" ref="AQ17:AU17" si="74">AP17/2039.76*100</f>
        <v>49.0464564458564</v>
      </c>
      <c r="AR17" s="9">
        <v>1126.584</v>
      </c>
      <c r="AS17" s="9">
        <f t="shared" si="74"/>
        <v>55.2312036710201</v>
      </c>
      <c r="AT17" s="9">
        <v>354.98</v>
      </c>
      <c r="AU17" s="9">
        <f t="shared" si="74"/>
        <v>17.403027807193</v>
      </c>
      <c r="AV17" s="9">
        <f t="shared" si="18"/>
        <v>1344.57142857143</v>
      </c>
      <c r="AW17" s="9">
        <f t="shared" si="19"/>
        <v>65.9181192185075</v>
      </c>
      <c r="AX17" s="8">
        <f t="shared" si="20"/>
        <v>1.34399351136154</v>
      </c>
      <c r="AY17" s="8">
        <f t="shared" si="21"/>
        <v>1.19349416339255</v>
      </c>
      <c r="AZ17" s="8">
        <f t="shared" si="22"/>
        <v>3.78773854462626</v>
      </c>
    </row>
    <row r="18" s="1" customFormat="1" ht="20.4" spans="1:52">
      <c r="A18" s="2"/>
      <c r="B18" s="3">
        <v>15</v>
      </c>
      <c r="C18" s="3">
        <v>2688</v>
      </c>
      <c r="D18" s="3">
        <v>75520</v>
      </c>
      <c r="E18" s="3">
        <v>1920</v>
      </c>
      <c r="F18" s="3">
        <v>3554</v>
      </c>
      <c r="G18" s="3">
        <v>49.7</v>
      </c>
      <c r="H18" s="3">
        <v>5021</v>
      </c>
      <c r="I18" s="3">
        <v>70.3</v>
      </c>
      <c r="J18" s="6">
        <v>20.6</v>
      </c>
      <c r="K18" s="8">
        <f t="shared" si="0"/>
        <v>1.41277433877321</v>
      </c>
      <c r="L18" s="8">
        <f t="shared" si="1"/>
        <v>1.67173636840661</v>
      </c>
      <c r="M18" s="8">
        <f t="shared" si="2"/>
        <v>1.66410295603812</v>
      </c>
      <c r="N18" s="8">
        <f t="shared" si="3"/>
        <v>1.7748940825505</v>
      </c>
      <c r="O18" s="8">
        <f t="shared" si="4"/>
        <v>23.4472774820211</v>
      </c>
      <c r="P18" s="9">
        <f t="shared" ref="P18:T18" si="75">Z18*8.6</f>
        <v>3003.464</v>
      </c>
      <c r="Q18" s="9">
        <f t="shared" ref="Q18:U18" si="76">P18/7142.4*100</f>
        <v>42.0511872759857</v>
      </c>
      <c r="R18" s="9">
        <f t="shared" si="75"/>
        <v>3017.2412</v>
      </c>
      <c r="S18" s="9">
        <f t="shared" si="76"/>
        <v>42.244080421147</v>
      </c>
      <c r="T18" s="9">
        <f t="shared" si="75"/>
        <v>2828.9012</v>
      </c>
      <c r="U18" s="9">
        <f t="shared" si="76"/>
        <v>39.6071516577061</v>
      </c>
      <c r="V18" s="9">
        <f t="shared" si="7"/>
        <v>214.14</v>
      </c>
      <c r="W18" s="9">
        <f t="shared" si="8"/>
        <v>2.99815188172043</v>
      </c>
      <c r="X18" s="2"/>
      <c r="Y18" s="3">
        <v>15</v>
      </c>
      <c r="Z18" s="3">
        <v>349.24</v>
      </c>
      <c r="AA18" s="9">
        <f t="shared" si="9"/>
        <v>46.6399572649573</v>
      </c>
      <c r="AB18" s="3">
        <v>350.842</v>
      </c>
      <c r="AC18" s="9">
        <f t="shared" ref="AC18:AG18" si="77">AB18/748.8*100</f>
        <v>46.8538995726496</v>
      </c>
      <c r="AD18" s="3">
        <v>328.942</v>
      </c>
      <c r="AE18" s="9">
        <f t="shared" si="77"/>
        <v>43.9292200854701</v>
      </c>
      <c r="AF18" s="3">
        <v>24.9</v>
      </c>
      <c r="AG18" s="9">
        <f t="shared" si="77"/>
        <v>3.32532051282051</v>
      </c>
      <c r="AH18" s="9">
        <f t="shared" si="11"/>
        <v>528.526315789474</v>
      </c>
      <c r="AI18" s="9">
        <f t="shared" si="12"/>
        <v>70.5831084120558</v>
      </c>
      <c r="AJ18" s="8">
        <f t="shared" si="13"/>
        <v>1.51336134403125</v>
      </c>
      <c r="AK18" s="8">
        <f t="shared" si="14"/>
        <v>1.50645109704503</v>
      </c>
      <c r="AL18" s="8">
        <f t="shared" si="15"/>
        <v>1.60674622209834</v>
      </c>
      <c r="AM18" s="8">
        <f t="shared" si="16"/>
        <v>21.2259564574086</v>
      </c>
      <c r="AN18" s="2"/>
      <c r="AO18" s="3">
        <v>15</v>
      </c>
      <c r="AP18" s="9">
        <v>996.96</v>
      </c>
      <c r="AQ18" s="9">
        <f t="shared" ref="AQ18:AU18" si="78">AP18/2039.76*100</f>
        <v>48.8763383927521</v>
      </c>
      <c r="AR18" s="9">
        <v>1110.968</v>
      </c>
      <c r="AS18" s="9">
        <f t="shared" si="78"/>
        <v>54.4656234066753</v>
      </c>
      <c r="AT18" s="9">
        <v>355.06</v>
      </c>
      <c r="AU18" s="9">
        <f t="shared" si="78"/>
        <v>17.4069498372358</v>
      </c>
      <c r="AV18" s="9">
        <f t="shared" si="18"/>
        <v>1434.57142857143</v>
      </c>
      <c r="AW18" s="9">
        <f t="shared" si="19"/>
        <v>70.3304030166014</v>
      </c>
      <c r="AX18" s="8">
        <f t="shared" si="20"/>
        <v>1.43894582387601</v>
      </c>
      <c r="AY18" s="8">
        <f t="shared" si="21"/>
        <v>1.29128060265591</v>
      </c>
      <c r="AZ18" s="8">
        <f t="shared" si="22"/>
        <v>4.04036339934498</v>
      </c>
    </row>
    <row r="19" s="1" customFormat="1" ht="20.4" spans="1:52">
      <c r="A19" s="2"/>
      <c r="B19" s="3">
        <v>16</v>
      </c>
      <c r="C19" s="3">
        <v>3456</v>
      </c>
      <c r="D19" s="3">
        <v>83584</v>
      </c>
      <c r="E19" s="3">
        <v>1920</v>
      </c>
      <c r="F19" s="3">
        <v>4573</v>
      </c>
      <c r="G19" s="3">
        <v>64</v>
      </c>
      <c r="H19" s="3">
        <v>5920</v>
      </c>
      <c r="I19" s="3">
        <v>82.8</v>
      </c>
      <c r="J19" s="6">
        <v>18.8</v>
      </c>
      <c r="K19" s="8">
        <f t="shared" si="0"/>
        <v>1.29455499671988</v>
      </c>
      <c r="L19" s="8">
        <f t="shared" si="1"/>
        <v>1.96184477035812</v>
      </c>
      <c r="M19" s="8">
        <f t="shared" si="2"/>
        <v>1.95489166730069</v>
      </c>
      <c r="N19" s="8">
        <f t="shared" si="3"/>
        <v>2.26721590482595</v>
      </c>
      <c r="O19" s="8">
        <f t="shared" si="4"/>
        <v>20.6904746926136</v>
      </c>
      <c r="P19" s="9">
        <f t="shared" ref="P19:T19" si="79">Z19*8.6</f>
        <v>3017.568</v>
      </c>
      <c r="Q19" s="9">
        <f t="shared" ref="Q19:U19" si="80">P19/7142.4*100</f>
        <v>42.2486559139785</v>
      </c>
      <c r="R19" s="9">
        <f t="shared" si="79"/>
        <v>3028.3008</v>
      </c>
      <c r="S19" s="9">
        <f t="shared" si="80"/>
        <v>42.3989247311828</v>
      </c>
      <c r="T19" s="9">
        <f t="shared" si="79"/>
        <v>2611.132</v>
      </c>
      <c r="U19" s="9">
        <f t="shared" si="80"/>
        <v>36.5581877240143</v>
      </c>
      <c r="V19" s="9">
        <f t="shared" si="7"/>
        <v>286.122</v>
      </c>
      <c r="W19" s="9">
        <f t="shared" si="8"/>
        <v>4.00596438172043</v>
      </c>
      <c r="X19" s="2"/>
      <c r="Y19" s="3">
        <v>16</v>
      </c>
      <c r="Z19" s="3">
        <v>350.88</v>
      </c>
      <c r="AA19" s="9">
        <f t="shared" si="9"/>
        <v>46.8589743589744</v>
      </c>
      <c r="AB19" s="3">
        <v>352.128</v>
      </c>
      <c r="AC19" s="9">
        <f t="shared" ref="AC19:AG19" si="81">AB19/748.8*100</f>
        <v>47.025641025641</v>
      </c>
      <c r="AD19" s="3">
        <v>303.62</v>
      </c>
      <c r="AE19" s="9">
        <f t="shared" si="81"/>
        <v>40.5475427350427</v>
      </c>
      <c r="AF19" s="3">
        <v>33.27</v>
      </c>
      <c r="AG19" s="9">
        <f t="shared" si="81"/>
        <v>4.44310897435898</v>
      </c>
      <c r="AH19" s="9">
        <f t="shared" si="11"/>
        <v>623.157894736842</v>
      </c>
      <c r="AI19" s="9">
        <f t="shared" si="12"/>
        <v>83.2208726945569</v>
      </c>
      <c r="AJ19" s="8">
        <f t="shared" si="13"/>
        <v>1.77598579211366</v>
      </c>
      <c r="AK19" s="8">
        <f t="shared" si="14"/>
        <v>1.76969140408273</v>
      </c>
      <c r="AL19" s="8">
        <f t="shared" si="15"/>
        <v>2.05242702963191</v>
      </c>
      <c r="AM19" s="8">
        <f t="shared" si="16"/>
        <v>18.7303244585766</v>
      </c>
      <c r="AN19" s="2"/>
      <c r="AO19" s="3">
        <v>16</v>
      </c>
      <c r="AP19" s="9">
        <v>1150.4</v>
      </c>
      <c r="AQ19" s="9">
        <f t="shared" ref="AQ19:AU19" si="82">AP19/2039.76*100</f>
        <v>56.3987920147468</v>
      </c>
      <c r="AR19" s="9">
        <v>1144.285</v>
      </c>
      <c r="AS19" s="9">
        <f t="shared" si="82"/>
        <v>56.0990018433541</v>
      </c>
      <c r="AT19" s="9">
        <v>339.45</v>
      </c>
      <c r="AU19" s="9">
        <f t="shared" si="82"/>
        <v>16.6416637251441</v>
      </c>
      <c r="AV19" s="9">
        <f t="shared" si="18"/>
        <v>1691.42857142857</v>
      </c>
      <c r="AW19" s="9">
        <f t="shared" si="19"/>
        <v>82.9229209038598</v>
      </c>
      <c r="AX19" s="8">
        <f t="shared" si="20"/>
        <v>1.47029604609577</v>
      </c>
      <c r="AY19" s="8">
        <f t="shared" si="21"/>
        <v>1.47815323230539</v>
      </c>
      <c r="AZ19" s="8">
        <f t="shared" si="22"/>
        <v>4.98285040927551</v>
      </c>
    </row>
    <row r="20" s="1" customFormat="1" ht="20.4" spans="1:52">
      <c r="A20" s="2"/>
      <c r="B20" s="3">
        <v>17</v>
      </c>
      <c r="C20" s="3">
        <v>3456</v>
      </c>
      <c r="D20" s="3">
        <v>77440</v>
      </c>
      <c r="E20" s="3">
        <v>1920</v>
      </c>
      <c r="F20" s="3">
        <v>4537</v>
      </c>
      <c r="G20" s="3">
        <v>63.5</v>
      </c>
      <c r="H20" s="3">
        <v>5812</v>
      </c>
      <c r="I20" s="3">
        <v>81.3</v>
      </c>
      <c r="J20" s="6">
        <v>17.8</v>
      </c>
      <c r="K20" s="8">
        <f t="shared" si="0"/>
        <v>1.28102270222614</v>
      </c>
      <c r="L20" s="8">
        <f t="shared" si="1"/>
        <v>1.92671328968061</v>
      </c>
      <c r="M20" s="8">
        <f t="shared" si="2"/>
        <v>1.91907005536841</v>
      </c>
      <c r="N20" s="8">
        <f t="shared" si="3"/>
        <v>2.22087325867602</v>
      </c>
      <c r="O20" s="8">
        <f t="shared" si="4"/>
        <v>20.0122580245298</v>
      </c>
      <c r="P20" s="9">
        <f t="shared" ref="P20:T20" si="83">Z20*8.6</f>
        <v>3016.536</v>
      </c>
      <c r="Q20" s="9">
        <f t="shared" ref="Q20:U20" si="84">P20/7142.4*100</f>
        <v>42.2342069892473</v>
      </c>
      <c r="R20" s="9">
        <f t="shared" si="83"/>
        <v>3028.5502</v>
      </c>
      <c r="S20" s="9">
        <f t="shared" si="84"/>
        <v>42.4024165546595</v>
      </c>
      <c r="T20" s="9">
        <f t="shared" si="83"/>
        <v>2616.9886</v>
      </c>
      <c r="U20" s="9">
        <f t="shared" si="84"/>
        <v>36.6401853718638</v>
      </c>
      <c r="V20" s="9">
        <f t="shared" si="7"/>
        <v>290.422</v>
      </c>
      <c r="W20" s="9">
        <f t="shared" si="8"/>
        <v>4.06616823476703</v>
      </c>
      <c r="X20" s="2"/>
      <c r="Y20" s="3">
        <v>17</v>
      </c>
      <c r="Z20" s="3">
        <v>350.76</v>
      </c>
      <c r="AA20" s="9">
        <f t="shared" si="9"/>
        <v>46.8429487179487</v>
      </c>
      <c r="AB20" s="3">
        <v>352.157</v>
      </c>
      <c r="AC20" s="9">
        <f t="shared" ref="AC20:AG20" si="85">AB20/748.8*100</f>
        <v>47.0295138888889</v>
      </c>
      <c r="AD20" s="3">
        <v>304.301</v>
      </c>
      <c r="AE20" s="9">
        <f t="shared" si="85"/>
        <v>40.6384882478633</v>
      </c>
      <c r="AF20" s="3">
        <v>33.77</v>
      </c>
      <c r="AG20" s="9">
        <f t="shared" si="85"/>
        <v>4.50988247863248</v>
      </c>
      <c r="AH20" s="9">
        <f t="shared" si="11"/>
        <v>611.789473684211</v>
      </c>
      <c r="AI20" s="9">
        <f t="shared" si="12"/>
        <v>81.7026540710751</v>
      </c>
      <c r="AJ20" s="8">
        <f t="shared" si="13"/>
        <v>1.74418255697403</v>
      </c>
      <c r="AK20" s="8">
        <f t="shared" si="14"/>
        <v>1.73726341854403</v>
      </c>
      <c r="AL20" s="8">
        <f t="shared" si="15"/>
        <v>2.01047473943303</v>
      </c>
      <c r="AM20" s="8">
        <f t="shared" si="16"/>
        <v>18.1163598958902</v>
      </c>
      <c r="AN20" s="2"/>
      <c r="AO20" s="3">
        <v>17</v>
      </c>
      <c r="AP20" s="9">
        <v>1149.57</v>
      </c>
      <c r="AQ20" s="9">
        <f t="shared" ref="AQ20:AU20" si="86">AP20/2039.76*100</f>
        <v>56.3581009530533</v>
      </c>
      <c r="AR20" s="9">
        <v>1140.574</v>
      </c>
      <c r="AS20" s="9">
        <f t="shared" si="86"/>
        <v>55.917068674746</v>
      </c>
      <c r="AT20" s="9">
        <v>343.07</v>
      </c>
      <c r="AU20" s="9">
        <f t="shared" si="86"/>
        <v>16.8191355845786</v>
      </c>
      <c r="AV20" s="9">
        <f t="shared" si="18"/>
        <v>1660.57142857143</v>
      </c>
      <c r="AW20" s="9">
        <f t="shared" si="19"/>
        <v>81.4101378873705</v>
      </c>
      <c r="AX20" s="8">
        <f t="shared" si="20"/>
        <v>1.44451527838359</v>
      </c>
      <c r="AY20" s="8">
        <f t="shared" si="21"/>
        <v>1.45590854128836</v>
      </c>
      <c r="AZ20" s="8">
        <f t="shared" si="22"/>
        <v>4.84032829618279</v>
      </c>
    </row>
    <row r="21" s="1" customFormat="1" ht="20.4" spans="1:52">
      <c r="A21" s="2"/>
      <c r="B21" s="3">
        <v>18</v>
      </c>
      <c r="C21" s="3">
        <v>3456</v>
      </c>
      <c r="D21" s="3">
        <v>78208</v>
      </c>
      <c r="E21" s="3">
        <v>1920</v>
      </c>
      <c r="F21" s="3">
        <v>4539</v>
      </c>
      <c r="G21" s="3">
        <v>63.5</v>
      </c>
      <c r="H21" s="3">
        <v>5906</v>
      </c>
      <c r="I21" s="3">
        <v>82.6</v>
      </c>
      <c r="J21" s="6">
        <v>19.1</v>
      </c>
      <c r="K21" s="8">
        <f t="shared" si="0"/>
        <v>1.30116765807447</v>
      </c>
      <c r="L21" s="8">
        <f t="shared" si="1"/>
        <v>1.94859741238405</v>
      </c>
      <c r="M21" s="8">
        <f t="shared" si="2"/>
        <v>1.96420268868951</v>
      </c>
      <c r="N21" s="8">
        <f t="shared" si="3"/>
        <v>2.23698089241069</v>
      </c>
      <c r="O21" s="8">
        <f t="shared" si="4"/>
        <v>20.9885142434753</v>
      </c>
      <c r="P21" s="9">
        <f t="shared" ref="P21:T21" si="87">Z21*8.6</f>
        <v>3030.898</v>
      </c>
      <c r="Q21" s="9">
        <f t="shared" ref="Q21:U21" si="88">P21/7142.4*100</f>
        <v>42.4352878584229</v>
      </c>
      <c r="R21" s="9">
        <f t="shared" si="87"/>
        <v>3006.818</v>
      </c>
      <c r="S21" s="9">
        <f t="shared" si="88"/>
        <v>42.098146281362</v>
      </c>
      <c r="T21" s="9">
        <f t="shared" si="87"/>
        <v>2640.1656</v>
      </c>
      <c r="U21" s="9">
        <f t="shared" si="88"/>
        <v>36.9646841397849</v>
      </c>
      <c r="V21" s="9">
        <f t="shared" si="7"/>
        <v>281.392</v>
      </c>
      <c r="W21" s="9">
        <f t="shared" si="8"/>
        <v>3.93974014336918</v>
      </c>
      <c r="X21" s="2"/>
      <c r="Y21" s="3">
        <v>18</v>
      </c>
      <c r="Z21" s="3">
        <v>352.43</v>
      </c>
      <c r="AA21" s="9">
        <f t="shared" si="9"/>
        <v>47.0659722222222</v>
      </c>
      <c r="AB21" s="3">
        <v>349.63</v>
      </c>
      <c r="AC21" s="9">
        <f t="shared" ref="AC21:AG21" si="89">AB21/748.8*100</f>
        <v>46.6920405982906</v>
      </c>
      <c r="AD21" s="3">
        <v>306.996</v>
      </c>
      <c r="AE21" s="9">
        <f t="shared" si="89"/>
        <v>40.9983974358974</v>
      </c>
      <c r="AF21" s="3">
        <v>32.72</v>
      </c>
      <c r="AG21" s="9">
        <f t="shared" si="89"/>
        <v>4.36965811965812</v>
      </c>
      <c r="AH21" s="9">
        <f t="shared" si="11"/>
        <v>621.684210526316</v>
      </c>
      <c r="AI21" s="9">
        <f t="shared" si="12"/>
        <v>83.0240665766982</v>
      </c>
      <c r="AJ21" s="8">
        <f t="shared" si="13"/>
        <v>1.7639934470003</v>
      </c>
      <c r="AK21" s="8">
        <f t="shared" si="14"/>
        <v>1.77812032870839</v>
      </c>
      <c r="AL21" s="8">
        <f t="shared" si="15"/>
        <v>2.02505638681389</v>
      </c>
      <c r="AM21" s="8">
        <f t="shared" si="16"/>
        <v>19.0001286835671</v>
      </c>
      <c r="AN21" s="2"/>
      <c r="AO21" s="3">
        <v>18</v>
      </c>
      <c r="AP21" s="9">
        <v>1152.63</v>
      </c>
      <c r="AQ21" s="9">
        <f t="shared" ref="AQ21:AU21" si="90">AP21/2039.76*100</f>
        <v>56.5081186021885</v>
      </c>
      <c r="AR21" s="9">
        <v>1140.697</v>
      </c>
      <c r="AS21" s="9">
        <f t="shared" si="90"/>
        <v>55.9230987959368</v>
      </c>
      <c r="AT21" s="9">
        <v>344.52</v>
      </c>
      <c r="AU21" s="9">
        <f t="shared" si="90"/>
        <v>16.8902223791034</v>
      </c>
      <c r="AV21" s="9">
        <f t="shared" si="18"/>
        <v>1687.42857142857</v>
      </c>
      <c r="AW21" s="9">
        <f t="shared" si="19"/>
        <v>82.7268194017223</v>
      </c>
      <c r="AX21" s="8">
        <f t="shared" si="20"/>
        <v>1.46398113135054</v>
      </c>
      <c r="AY21" s="8">
        <f t="shared" si="21"/>
        <v>1.47929605445493</v>
      </c>
      <c r="AZ21" s="8">
        <f t="shared" si="22"/>
        <v>4.89791179446352</v>
      </c>
    </row>
    <row r="22" s="1" customFormat="1" ht="20.4" spans="1:52">
      <c r="A22" s="2"/>
      <c r="B22" s="3">
        <v>19</v>
      </c>
      <c r="C22" s="3">
        <v>3456</v>
      </c>
      <c r="D22" s="3">
        <v>80512</v>
      </c>
      <c r="E22" s="3">
        <v>1920</v>
      </c>
      <c r="F22" s="3">
        <v>4538</v>
      </c>
      <c r="G22" s="3">
        <v>63.5</v>
      </c>
      <c r="H22" s="3">
        <v>5799</v>
      </c>
      <c r="I22" s="3">
        <v>81.1</v>
      </c>
      <c r="J22" s="6">
        <v>17.6</v>
      </c>
      <c r="K22" s="8">
        <f t="shared" si="0"/>
        <v>1.27787571617453</v>
      </c>
      <c r="L22" s="8">
        <f t="shared" si="1"/>
        <v>1.90561629385727</v>
      </c>
      <c r="M22" s="8">
        <f t="shared" si="2"/>
        <v>1.92015378713332</v>
      </c>
      <c r="N22" s="8">
        <f t="shared" si="3"/>
        <v>2.1136811263985</v>
      </c>
      <c r="O22" s="8">
        <f t="shared" si="4"/>
        <v>18.484164626683</v>
      </c>
      <c r="P22" s="9">
        <f t="shared" ref="P22:T22" si="91">Z22*8.6</f>
        <v>3043.11</v>
      </c>
      <c r="Q22" s="9">
        <f t="shared" ref="Q22:U22" si="92">P22/7142.4*100</f>
        <v>42.6062668010753</v>
      </c>
      <c r="R22" s="9">
        <f t="shared" si="91"/>
        <v>3020.0706</v>
      </c>
      <c r="S22" s="9">
        <f t="shared" si="92"/>
        <v>42.2836945564516</v>
      </c>
      <c r="T22" s="9">
        <f t="shared" si="91"/>
        <v>2743.5548</v>
      </c>
      <c r="U22" s="9">
        <f t="shared" si="92"/>
        <v>38.4122255824373</v>
      </c>
      <c r="V22" s="9">
        <f t="shared" si="7"/>
        <v>313.728</v>
      </c>
      <c r="W22" s="9">
        <f t="shared" si="8"/>
        <v>4.39247311827957</v>
      </c>
      <c r="X22" s="2"/>
      <c r="Y22" s="3">
        <v>19</v>
      </c>
      <c r="Z22" s="3">
        <v>353.85</v>
      </c>
      <c r="AA22" s="9">
        <f t="shared" si="9"/>
        <v>47.255608974359</v>
      </c>
      <c r="AB22" s="3">
        <v>351.171</v>
      </c>
      <c r="AC22" s="9">
        <f t="shared" ref="AC22:AG22" si="93">AB22/748.8*100</f>
        <v>46.8978365384615</v>
      </c>
      <c r="AD22" s="3">
        <v>319.018</v>
      </c>
      <c r="AE22" s="9">
        <f t="shared" si="93"/>
        <v>42.6038995726496</v>
      </c>
      <c r="AF22" s="3">
        <v>36.48</v>
      </c>
      <c r="AG22" s="9">
        <f t="shared" si="93"/>
        <v>4.87179487179487</v>
      </c>
      <c r="AH22" s="9">
        <f t="shared" si="11"/>
        <v>610.421052631579</v>
      </c>
      <c r="AI22" s="9">
        <f t="shared" si="12"/>
        <v>81.5199055330634</v>
      </c>
      <c r="AJ22" s="8">
        <f t="shared" si="13"/>
        <v>1.7250842239129</v>
      </c>
      <c r="AK22" s="8">
        <f t="shared" si="14"/>
        <v>1.73824448098385</v>
      </c>
      <c r="AL22" s="8">
        <f t="shared" si="15"/>
        <v>1.91343765126601</v>
      </c>
      <c r="AM22" s="8">
        <f t="shared" si="16"/>
        <v>16.7330332409972</v>
      </c>
      <c r="AN22" s="2"/>
      <c r="AO22" s="3">
        <v>19</v>
      </c>
      <c r="AP22" s="9">
        <v>1148.09</v>
      </c>
      <c r="AQ22" s="9">
        <f t="shared" ref="AQ22:AU22" si="94">AP22/2039.76*100</f>
        <v>56.2855433972624</v>
      </c>
      <c r="AR22" s="9">
        <v>1142.082</v>
      </c>
      <c r="AS22" s="9">
        <f t="shared" si="94"/>
        <v>55.9909989410519</v>
      </c>
      <c r="AT22" s="9">
        <v>340.47</v>
      </c>
      <c r="AU22" s="9">
        <f t="shared" si="94"/>
        <v>16.6916696081892</v>
      </c>
      <c r="AV22" s="9">
        <f t="shared" si="18"/>
        <v>1656.85714285714</v>
      </c>
      <c r="AW22" s="9">
        <f t="shared" si="19"/>
        <v>81.2280436353857</v>
      </c>
      <c r="AX22" s="8">
        <f t="shared" si="20"/>
        <v>1.44314221259408</v>
      </c>
      <c r="AY22" s="8">
        <f t="shared" si="21"/>
        <v>1.45073396030858</v>
      </c>
      <c r="AZ22" s="8">
        <f t="shared" si="22"/>
        <v>4.86638218596981</v>
      </c>
    </row>
    <row r="23" s="1" customFormat="1" ht="20.4" spans="1:52">
      <c r="A23" s="2"/>
      <c r="B23" s="3">
        <v>20</v>
      </c>
      <c r="C23" s="3">
        <v>3456</v>
      </c>
      <c r="D23" s="3">
        <v>45568</v>
      </c>
      <c r="E23" s="3">
        <v>1920</v>
      </c>
      <c r="F23" s="3">
        <v>4549</v>
      </c>
      <c r="G23" s="3">
        <v>63.6</v>
      </c>
      <c r="H23" s="3">
        <v>5797</v>
      </c>
      <c r="I23" s="3">
        <v>81.1</v>
      </c>
      <c r="J23" s="6">
        <v>17.5</v>
      </c>
      <c r="K23" s="8">
        <f t="shared" si="0"/>
        <v>1.27434601011211</v>
      </c>
      <c r="L23" s="8">
        <f t="shared" si="1"/>
        <v>1.92135725976074</v>
      </c>
      <c r="M23" s="8">
        <f t="shared" si="2"/>
        <v>1.90794081874983</v>
      </c>
      <c r="N23" s="8">
        <f t="shared" si="3"/>
        <v>2.16870302281362</v>
      </c>
      <c r="O23" s="8">
        <f t="shared" si="4"/>
        <v>25.1237334119218</v>
      </c>
      <c r="P23" s="9">
        <f t="shared" ref="P23:T23" si="95">Z23*8.6</f>
        <v>3017.138</v>
      </c>
      <c r="Q23" s="9">
        <f t="shared" ref="Q23:U23" si="96">P23/7142.4*100</f>
        <v>42.2426355286738</v>
      </c>
      <c r="R23" s="9">
        <f t="shared" si="95"/>
        <v>3038.3542</v>
      </c>
      <c r="S23" s="9">
        <f t="shared" si="96"/>
        <v>42.5396813396057</v>
      </c>
      <c r="T23" s="9">
        <f t="shared" si="95"/>
        <v>2673.0262</v>
      </c>
      <c r="U23" s="9">
        <f t="shared" si="96"/>
        <v>37.424761984767</v>
      </c>
      <c r="V23" s="9">
        <f t="shared" si="7"/>
        <v>230.738</v>
      </c>
      <c r="W23" s="9">
        <f t="shared" si="8"/>
        <v>3.23053875448029</v>
      </c>
      <c r="X23" s="2"/>
      <c r="Y23" s="3">
        <v>20</v>
      </c>
      <c r="Z23" s="3">
        <v>350.83</v>
      </c>
      <c r="AA23" s="9">
        <f t="shared" si="9"/>
        <v>46.852297008547</v>
      </c>
      <c r="AB23" s="3">
        <v>353.297</v>
      </c>
      <c r="AC23" s="9">
        <f t="shared" ref="AC23:AG23" si="97">AB23/748.8*100</f>
        <v>47.1817574786325</v>
      </c>
      <c r="AD23" s="3">
        <v>310.817</v>
      </c>
      <c r="AE23" s="9">
        <f t="shared" si="97"/>
        <v>41.5086805555556</v>
      </c>
      <c r="AF23" s="3">
        <v>26.83</v>
      </c>
      <c r="AG23" s="9">
        <f t="shared" si="97"/>
        <v>3.58306623931624</v>
      </c>
      <c r="AH23" s="9">
        <f t="shared" si="11"/>
        <v>610.210526315789</v>
      </c>
      <c r="AI23" s="9">
        <f t="shared" si="12"/>
        <v>81.4917903733693</v>
      </c>
      <c r="AJ23" s="8">
        <f t="shared" si="13"/>
        <v>1.73933394041499</v>
      </c>
      <c r="AK23" s="8">
        <f t="shared" si="14"/>
        <v>1.72718853065775</v>
      </c>
      <c r="AL23" s="8">
        <f t="shared" si="15"/>
        <v>1.96324694696812</v>
      </c>
      <c r="AM23" s="8">
        <f t="shared" si="16"/>
        <v>22.7435902465818</v>
      </c>
      <c r="AN23" s="2"/>
      <c r="AO23" s="3">
        <v>20</v>
      </c>
      <c r="AP23" s="9">
        <v>1131.51</v>
      </c>
      <c r="AQ23" s="9">
        <f t="shared" ref="AQ23:AU23" si="98">AP23/2039.76*100</f>
        <v>55.4727026709025</v>
      </c>
      <c r="AR23" s="9">
        <v>1148.794</v>
      </c>
      <c r="AS23" s="9">
        <f t="shared" si="98"/>
        <v>56.3200572616386</v>
      </c>
      <c r="AT23" s="9">
        <v>353.34</v>
      </c>
      <c r="AU23" s="9">
        <f t="shared" si="98"/>
        <v>17.3226261913166</v>
      </c>
      <c r="AV23" s="9">
        <f t="shared" si="18"/>
        <v>1656.28571428571</v>
      </c>
      <c r="AW23" s="9">
        <f t="shared" si="19"/>
        <v>81.2000291350803</v>
      </c>
      <c r="AX23" s="8">
        <f t="shared" si="20"/>
        <v>1.46378354083103</v>
      </c>
      <c r="AY23" s="8">
        <f t="shared" si="21"/>
        <v>1.44176041508374</v>
      </c>
      <c r="AZ23" s="8">
        <f t="shared" si="22"/>
        <v>4.6875126345325</v>
      </c>
    </row>
    <row r="24" s="1" customFormat="1" ht="20.4" spans="1:52">
      <c r="A24" s="2"/>
      <c r="B24" s="3">
        <v>21</v>
      </c>
      <c r="C24" s="3">
        <v>3456</v>
      </c>
      <c r="D24" s="3">
        <v>45184</v>
      </c>
      <c r="E24" s="3">
        <v>1920</v>
      </c>
      <c r="F24" s="3">
        <v>4561</v>
      </c>
      <c r="G24" s="3">
        <v>63.8</v>
      </c>
      <c r="H24" s="3">
        <v>5812</v>
      </c>
      <c r="I24" s="3">
        <v>81.3</v>
      </c>
      <c r="J24" s="6">
        <v>17.5</v>
      </c>
      <c r="K24" s="8">
        <f t="shared" si="0"/>
        <v>1.27428195571147</v>
      </c>
      <c r="L24" s="8">
        <f t="shared" si="1"/>
        <v>1.91611554717429</v>
      </c>
      <c r="M24" s="8">
        <f t="shared" si="2"/>
        <v>1.93037305156707</v>
      </c>
      <c r="N24" s="8">
        <f t="shared" si="3"/>
        <v>2.17311907047337</v>
      </c>
      <c r="O24" s="8">
        <f t="shared" si="4"/>
        <v>17.4945367198647</v>
      </c>
      <c r="P24" s="9">
        <f t="shared" ref="P24:T24" si="99">Z24*8.6</f>
        <v>3033.22</v>
      </c>
      <c r="Q24" s="9">
        <f t="shared" ref="Q24:U24" si="100">P24/7142.4*100</f>
        <v>42.4677979390681</v>
      </c>
      <c r="R24" s="9">
        <f t="shared" si="99"/>
        <v>3010.817</v>
      </c>
      <c r="S24" s="9">
        <f t="shared" si="100"/>
        <v>42.1541358646953</v>
      </c>
      <c r="T24" s="9">
        <f t="shared" si="99"/>
        <v>2674.4968</v>
      </c>
      <c r="U24" s="9">
        <f t="shared" si="100"/>
        <v>37.445351702509</v>
      </c>
      <c r="V24" s="9">
        <f t="shared" si="7"/>
        <v>332.218</v>
      </c>
      <c r="W24" s="9">
        <f t="shared" si="8"/>
        <v>4.65134968637993</v>
      </c>
      <c r="X24" s="2"/>
      <c r="Y24" s="3">
        <v>21</v>
      </c>
      <c r="Z24" s="3">
        <v>352.7</v>
      </c>
      <c r="AA24" s="9">
        <f t="shared" si="9"/>
        <v>47.1020299145299</v>
      </c>
      <c r="AB24" s="3">
        <v>350.095</v>
      </c>
      <c r="AC24" s="9">
        <f t="shared" ref="AC24:AG24" si="101">AB24/748.8*100</f>
        <v>46.754139957265</v>
      </c>
      <c r="AD24" s="3">
        <v>310.988</v>
      </c>
      <c r="AE24" s="9">
        <f t="shared" si="101"/>
        <v>41.5315170940171</v>
      </c>
      <c r="AF24" s="3">
        <v>38.63</v>
      </c>
      <c r="AG24" s="9">
        <f t="shared" si="101"/>
        <v>5.15892094017094</v>
      </c>
      <c r="AH24" s="9">
        <f t="shared" si="11"/>
        <v>611.789473684211</v>
      </c>
      <c r="AI24" s="9">
        <f t="shared" si="12"/>
        <v>81.7026540710751</v>
      </c>
      <c r="AJ24" s="8">
        <f t="shared" si="13"/>
        <v>1.7345888111262</v>
      </c>
      <c r="AK24" s="8">
        <f t="shared" si="14"/>
        <v>1.7474956045765</v>
      </c>
      <c r="AL24" s="8">
        <f t="shared" si="15"/>
        <v>1.967244632218</v>
      </c>
      <c r="AM24" s="8">
        <f t="shared" si="16"/>
        <v>15.8371595569301</v>
      </c>
      <c r="AN24" s="2"/>
      <c r="AO24" s="3">
        <v>21</v>
      </c>
      <c r="AP24" s="9">
        <v>1143.96</v>
      </c>
      <c r="AQ24" s="9">
        <f t="shared" ref="AQ24:AU24" si="102">AP24/2039.76*100</f>
        <v>56.0830685963055</v>
      </c>
      <c r="AR24" s="9">
        <v>1157.457</v>
      </c>
      <c r="AS24" s="9">
        <f t="shared" si="102"/>
        <v>56.7447640898929</v>
      </c>
      <c r="AT24" s="9">
        <v>349.25</v>
      </c>
      <c r="AU24" s="9">
        <f t="shared" si="102"/>
        <v>17.122112405381</v>
      </c>
      <c r="AV24" s="9">
        <f t="shared" si="18"/>
        <v>1660.57142857143</v>
      </c>
      <c r="AW24" s="9">
        <f t="shared" si="19"/>
        <v>81.4101378873705</v>
      </c>
      <c r="AX24" s="8">
        <f t="shared" si="20"/>
        <v>1.45159920676547</v>
      </c>
      <c r="AY24" s="8">
        <f t="shared" si="21"/>
        <v>1.43467224144951</v>
      </c>
      <c r="AZ24" s="8">
        <f t="shared" si="22"/>
        <v>4.75467839247367</v>
      </c>
    </row>
    <row r="25" s="1" customFormat="1" ht="20.4" spans="1:52">
      <c r="A25" s="2"/>
      <c r="B25" s="3">
        <v>22</v>
      </c>
      <c r="C25" s="3">
        <v>3456</v>
      </c>
      <c r="D25" s="3">
        <v>37888</v>
      </c>
      <c r="E25" s="3">
        <v>1920</v>
      </c>
      <c r="F25" s="3">
        <v>4534</v>
      </c>
      <c r="G25" s="3">
        <v>63.4</v>
      </c>
      <c r="H25" s="3">
        <v>5652</v>
      </c>
      <c r="I25" s="3">
        <v>79.1</v>
      </c>
      <c r="J25" s="6">
        <v>15.7</v>
      </c>
      <c r="K25" s="8">
        <f t="shared" si="0"/>
        <v>1.24658138509043</v>
      </c>
      <c r="L25" s="8">
        <f t="shared" si="1"/>
        <v>1.87854595491091</v>
      </c>
      <c r="M25" s="8">
        <f t="shared" si="2"/>
        <v>1.85623505479539</v>
      </c>
      <c r="N25" s="8">
        <f t="shared" si="3"/>
        <v>2.14671155466355</v>
      </c>
      <c r="O25" s="8">
        <f t="shared" si="4"/>
        <v>25.9356472898809</v>
      </c>
      <c r="P25" s="9">
        <f t="shared" ref="P25:T25" si="103">Z25*8.6</f>
        <v>3008.71</v>
      </c>
      <c r="Q25" s="9">
        <f t="shared" ref="Q25:U25" si="104">P25/7142.4*100</f>
        <v>42.1246359767025</v>
      </c>
      <c r="R25" s="9">
        <f t="shared" si="103"/>
        <v>3044.873</v>
      </c>
      <c r="S25" s="9">
        <f t="shared" si="104"/>
        <v>42.6309503808244</v>
      </c>
      <c r="T25" s="9">
        <f t="shared" si="103"/>
        <v>2632.8642</v>
      </c>
      <c r="U25" s="9">
        <f t="shared" si="104"/>
        <v>36.8624579973118</v>
      </c>
      <c r="V25" s="9">
        <f t="shared" si="7"/>
        <v>217.924</v>
      </c>
      <c r="W25" s="9">
        <f t="shared" si="8"/>
        <v>3.05113127240143</v>
      </c>
      <c r="X25" s="2"/>
      <c r="Y25" s="3">
        <v>22</v>
      </c>
      <c r="Z25" s="3">
        <v>349.85</v>
      </c>
      <c r="AA25" s="9">
        <f t="shared" si="9"/>
        <v>46.7214209401709</v>
      </c>
      <c r="AB25" s="3">
        <v>354.055</v>
      </c>
      <c r="AC25" s="9">
        <f t="shared" ref="AC25:AG25" si="105">AB25/748.8*100</f>
        <v>47.2829861111111</v>
      </c>
      <c r="AD25" s="3">
        <v>306.147</v>
      </c>
      <c r="AE25" s="9">
        <f t="shared" si="105"/>
        <v>40.885016025641</v>
      </c>
      <c r="AF25" s="3">
        <v>25.34</v>
      </c>
      <c r="AG25" s="9">
        <f t="shared" si="105"/>
        <v>3.3840811965812</v>
      </c>
      <c r="AH25" s="9">
        <f t="shared" si="11"/>
        <v>594.947368421053</v>
      </c>
      <c r="AI25" s="9">
        <f t="shared" si="12"/>
        <v>79.4534412955466</v>
      </c>
      <c r="AJ25" s="8">
        <f t="shared" si="13"/>
        <v>1.70057844339303</v>
      </c>
      <c r="AK25" s="8">
        <f t="shared" si="14"/>
        <v>1.68038120749898</v>
      </c>
      <c r="AL25" s="8">
        <f t="shared" si="15"/>
        <v>1.94333888106384</v>
      </c>
      <c r="AM25" s="8">
        <f t="shared" si="16"/>
        <v>23.4785859676816</v>
      </c>
      <c r="AN25" s="2"/>
      <c r="AO25" s="3">
        <v>22</v>
      </c>
      <c r="AP25" s="9">
        <v>1108.65</v>
      </c>
      <c r="AQ25" s="9">
        <f t="shared" ref="AQ25:AU25" si="106">AP25/2039.76*100</f>
        <v>54.3519825861866</v>
      </c>
      <c r="AR25" s="9">
        <v>1155.142</v>
      </c>
      <c r="AS25" s="9">
        <f t="shared" si="106"/>
        <v>56.6312703455309</v>
      </c>
      <c r="AT25" s="9">
        <v>364.24</v>
      </c>
      <c r="AU25" s="9">
        <f t="shared" si="106"/>
        <v>17.8570027846413</v>
      </c>
      <c r="AV25" s="9">
        <f t="shared" si="18"/>
        <v>1614.85714285714</v>
      </c>
      <c r="AW25" s="9">
        <f t="shared" si="19"/>
        <v>79.1689778629419</v>
      </c>
      <c r="AX25" s="8">
        <f t="shared" si="20"/>
        <v>1.45659779268222</v>
      </c>
      <c r="AY25" s="8">
        <f t="shared" si="21"/>
        <v>1.39797284044485</v>
      </c>
      <c r="AZ25" s="8">
        <f t="shared" si="22"/>
        <v>4.43349753694581</v>
      </c>
    </row>
    <row r="26" s="1" customFormat="1" ht="20.4" spans="3:53">
      <c r="C26" s="4"/>
      <c r="D26" s="4"/>
      <c r="E26" s="4"/>
      <c r="F26" s="4"/>
      <c r="G26" s="4"/>
      <c r="H26" s="4"/>
      <c r="I26" s="4"/>
      <c r="J26" s="4"/>
      <c r="K26" s="4">
        <f t="shared" ref="K26:O26" si="107">MAX(K4:K25)</f>
        <v>1.42957351290685</v>
      </c>
      <c r="L26" s="4">
        <f t="shared" si="107"/>
        <v>1.96184477035812</v>
      </c>
      <c r="M26" s="4">
        <f t="shared" si="107"/>
        <v>1.96420268868951</v>
      </c>
      <c r="N26" s="4">
        <f t="shared" si="107"/>
        <v>2.26721590482595</v>
      </c>
      <c r="O26" s="4">
        <f t="shared" si="107"/>
        <v>25.9356472898809</v>
      </c>
      <c r="P26" s="4"/>
      <c r="Q26" s="4"/>
      <c r="R26" s="4"/>
      <c r="S26" s="4"/>
      <c r="T26" s="4"/>
      <c r="U26" s="4"/>
      <c r="V26" s="4"/>
      <c r="W26" s="3"/>
      <c r="X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>
        <f t="shared" ref="AJ26:AM26" si="108">MAX(AJ4:AJ25)</f>
        <v>1.77598579211366</v>
      </c>
      <c r="AK26" s="4">
        <f t="shared" si="108"/>
        <v>1.77812032870839</v>
      </c>
      <c r="AL26" s="4">
        <f t="shared" si="108"/>
        <v>2.05242702963191</v>
      </c>
      <c r="AM26" s="4">
        <f t="shared" si="108"/>
        <v>23.4785859676816</v>
      </c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>
        <f t="shared" ref="AX26:AZ26" si="109">MAX(AX4:AX25)</f>
        <v>1.4866347806282</v>
      </c>
      <c r="AY26" s="4">
        <f t="shared" si="109"/>
        <v>1.47929605445493</v>
      </c>
      <c r="AZ26" s="4">
        <f t="shared" si="109"/>
        <v>4.98285040927551</v>
      </c>
      <c r="BA26" s="4"/>
    </row>
    <row r="27" s="1" customFormat="1" ht="20.4" spans="1:52">
      <c r="A27" s="2" t="s">
        <v>3</v>
      </c>
      <c r="B27" s="3" t="s">
        <v>4</v>
      </c>
      <c r="C27" s="3" t="s">
        <v>5</v>
      </c>
      <c r="D27" s="3" t="s">
        <v>6</v>
      </c>
      <c r="E27" s="3" t="s">
        <v>7</v>
      </c>
      <c r="F27" s="3" t="s">
        <v>8</v>
      </c>
      <c r="G27" s="3" t="s">
        <v>9</v>
      </c>
      <c r="H27" s="3" t="s">
        <v>10</v>
      </c>
      <c r="I27" s="3" t="s">
        <v>9</v>
      </c>
      <c r="J27" s="6" t="s">
        <v>11</v>
      </c>
      <c r="K27" s="7" t="s">
        <v>12</v>
      </c>
      <c r="L27" s="7" t="s">
        <v>13</v>
      </c>
      <c r="M27" s="7" t="s">
        <v>14</v>
      </c>
      <c r="N27" s="7" t="s">
        <v>15</v>
      </c>
      <c r="O27" s="7" t="s">
        <v>16</v>
      </c>
      <c r="P27" s="3" t="s">
        <v>17</v>
      </c>
      <c r="Q27" s="3" t="s">
        <v>9</v>
      </c>
      <c r="R27" s="3" t="s">
        <v>18</v>
      </c>
      <c r="S27" s="3" t="s">
        <v>9</v>
      </c>
      <c r="T27" s="3" t="s">
        <v>19</v>
      </c>
      <c r="U27" s="3" t="s">
        <v>9</v>
      </c>
      <c r="V27" s="3" t="s">
        <v>20</v>
      </c>
      <c r="W27" s="3" t="s">
        <v>9</v>
      </c>
      <c r="X27" s="2" t="s">
        <v>21</v>
      </c>
      <c r="Y27" s="3" t="s">
        <v>4</v>
      </c>
      <c r="Z27" s="3" t="s">
        <v>17</v>
      </c>
      <c r="AA27" s="3" t="s">
        <v>9</v>
      </c>
      <c r="AB27" s="3" t="s">
        <v>18</v>
      </c>
      <c r="AC27" s="3" t="s">
        <v>9</v>
      </c>
      <c r="AD27" s="3" t="s">
        <v>19</v>
      </c>
      <c r="AE27" s="3" t="s">
        <v>9</v>
      </c>
      <c r="AF27" s="3" t="s">
        <v>20</v>
      </c>
      <c r="AG27" s="3" t="s">
        <v>9</v>
      </c>
      <c r="AH27" s="3" t="s">
        <v>24</v>
      </c>
      <c r="AI27" s="3" t="s">
        <v>9</v>
      </c>
      <c r="AJ27" s="7" t="s">
        <v>13</v>
      </c>
      <c r="AK27" s="7" t="s">
        <v>14</v>
      </c>
      <c r="AL27" s="7" t="s">
        <v>15</v>
      </c>
      <c r="AM27" s="7" t="s">
        <v>16</v>
      </c>
      <c r="AN27" s="2" t="s">
        <v>22</v>
      </c>
      <c r="AO27" s="3" t="s">
        <v>4</v>
      </c>
      <c r="AP27" s="3" t="s">
        <v>17</v>
      </c>
      <c r="AQ27" s="3" t="s">
        <v>9</v>
      </c>
      <c r="AR27" s="3" t="s">
        <v>18</v>
      </c>
      <c r="AS27" s="3" t="s">
        <v>9</v>
      </c>
      <c r="AT27" s="3" t="s">
        <v>20</v>
      </c>
      <c r="AU27" s="3" t="s">
        <v>9</v>
      </c>
      <c r="AV27" s="9" t="s">
        <v>23</v>
      </c>
      <c r="AW27" s="9" t="s">
        <v>9</v>
      </c>
      <c r="AX27" s="7" t="s">
        <v>13</v>
      </c>
      <c r="AY27" s="7" t="s">
        <v>14</v>
      </c>
      <c r="AZ27" s="7" t="s">
        <v>16</v>
      </c>
    </row>
    <row r="28" s="1" customFormat="1" ht="20.4" spans="1:52">
      <c r="A28" s="2"/>
      <c r="B28" s="3">
        <v>1</v>
      </c>
      <c r="C28" s="3">
        <v>12672</v>
      </c>
      <c r="D28" s="3">
        <v>11008</v>
      </c>
      <c r="E28" s="3">
        <v>1920</v>
      </c>
      <c r="F28" s="3">
        <v>4775</v>
      </c>
      <c r="G28" s="3">
        <v>66.8</v>
      </c>
      <c r="H28" s="3">
        <v>5455</v>
      </c>
      <c r="I28" s="3">
        <v>76.3</v>
      </c>
      <c r="J28" s="6">
        <v>9.5</v>
      </c>
      <c r="K28" s="8">
        <f t="shared" ref="K28:K39" si="110">H28/F28</f>
        <v>1.14240837696335</v>
      </c>
      <c r="L28" s="8">
        <f t="shared" ref="L28:L39" si="111">H28/P28</f>
        <v>1.80903609383508</v>
      </c>
      <c r="M28" s="8">
        <f t="shared" ref="M28:M39" si="112">H28/R28</f>
        <v>1.80215395555119</v>
      </c>
      <c r="N28" s="8">
        <f t="shared" ref="N28:N39" si="113">H28/T28</f>
        <v>2.0402527085804</v>
      </c>
      <c r="O28" s="8">
        <f t="shared" ref="O28:O39" si="114">H28/V28</f>
        <v>21.2639063218704</v>
      </c>
      <c r="P28" s="9">
        <f t="shared" ref="P28:T28" si="115">Z28*8.6</f>
        <v>3015.418</v>
      </c>
      <c r="Q28" s="9">
        <f t="shared" ref="Q28:U28" si="116">P28/7142.4*100</f>
        <v>42.2185539874552</v>
      </c>
      <c r="R28" s="9">
        <f t="shared" si="115"/>
        <v>3026.9334</v>
      </c>
      <c r="S28" s="9">
        <f t="shared" si="116"/>
        <v>42.379779905914</v>
      </c>
      <c r="T28" s="9">
        <f t="shared" si="115"/>
        <v>2673.6884</v>
      </c>
      <c r="U28" s="9">
        <f t="shared" si="116"/>
        <v>37.4340333781362</v>
      </c>
      <c r="V28" s="9">
        <f t="shared" ref="V28:V39" si="117">AF28*8.6</f>
        <v>256.538</v>
      </c>
      <c r="W28" s="9">
        <f t="shared" ref="W28:W39" si="118">V28/7142.4*100</f>
        <v>3.59176187275986</v>
      </c>
      <c r="X28" s="2"/>
      <c r="Y28" s="3">
        <v>1</v>
      </c>
      <c r="Z28" s="3">
        <v>350.63</v>
      </c>
      <c r="AA28" s="9">
        <f t="shared" ref="AA28:AA39" si="119">(Z28/748.8)*100</f>
        <v>46.8255876068376</v>
      </c>
      <c r="AB28" s="3">
        <v>351.969</v>
      </c>
      <c r="AC28" s="9">
        <f t="shared" ref="AC28:AG28" si="120">AB28/748.8*100</f>
        <v>47.0044070512821</v>
      </c>
      <c r="AD28" s="3">
        <v>310.894</v>
      </c>
      <c r="AE28" s="9">
        <f t="shared" si="120"/>
        <v>41.5189636752137</v>
      </c>
      <c r="AF28" s="3">
        <v>29.83</v>
      </c>
      <c r="AG28" s="9">
        <f t="shared" si="120"/>
        <v>3.98370726495726</v>
      </c>
      <c r="AH28" s="9">
        <f t="shared" ref="AH28:AH39" si="121">H28/9.5</f>
        <v>574.210526315789</v>
      </c>
      <c r="AI28" s="9">
        <f t="shared" ref="AI28:AI39" si="122">AH28/748.8*100</f>
        <v>76.684098065677</v>
      </c>
      <c r="AJ28" s="8">
        <f t="shared" ref="AJ28:AJ39" si="123">AH28/Z28</f>
        <v>1.63765372705071</v>
      </c>
      <c r="AK28" s="8">
        <f t="shared" ref="AK28:AK39" si="124">AH28/AB28</f>
        <v>1.63142358081476</v>
      </c>
      <c r="AL28" s="8">
        <f t="shared" ref="AL28:AL39" si="125">AH28/AD28</f>
        <v>1.84696560987278</v>
      </c>
      <c r="AM28" s="8">
        <f t="shared" ref="AM28:AM39" si="126">AH28/AF28</f>
        <v>19.2494309861143</v>
      </c>
      <c r="AN28" s="2"/>
      <c r="AO28" s="3">
        <v>1</v>
      </c>
      <c r="AP28" s="9">
        <v>1146.33</v>
      </c>
      <c r="AQ28" s="9">
        <f t="shared" ref="AQ28:AU28" si="127">AP28/2039.76*100</f>
        <v>56.1992587363219</v>
      </c>
      <c r="AR28" s="9">
        <v>1169.197</v>
      </c>
      <c r="AS28" s="9">
        <f t="shared" si="127"/>
        <v>57.3203219986665</v>
      </c>
      <c r="AT28" s="9">
        <v>329.13</v>
      </c>
      <c r="AU28" s="9">
        <f t="shared" si="127"/>
        <v>16.1357218496294</v>
      </c>
      <c r="AV28" s="9">
        <f t="shared" ref="AV28:AV39" si="128">H28/3.5</f>
        <v>1558.57142857143</v>
      </c>
      <c r="AW28" s="9">
        <f t="shared" ref="AW28:AW39" si="129">AV28/2039.76*100</f>
        <v>76.4095495828641</v>
      </c>
      <c r="AX28" s="8">
        <f t="shared" ref="AX28:AX39" si="130">AV28/AP28</f>
        <v>1.35961845940648</v>
      </c>
      <c r="AY28" s="8">
        <f t="shared" ref="AY28:AY39" si="131">AV28/AR28</f>
        <v>1.33302722173546</v>
      </c>
      <c r="AZ28" s="8">
        <f t="shared" ref="AZ28:AZ39" si="132">AV28/AT28</f>
        <v>4.7354280332131</v>
      </c>
    </row>
    <row r="29" s="1" customFormat="1" ht="20.4" spans="1:52">
      <c r="A29" s="2"/>
      <c r="B29" s="3">
        <v>2</v>
      </c>
      <c r="C29" s="3">
        <v>12672</v>
      </c>
      <c r="D29" s="3">
        <v>16000</v>
      </c>
      <c r="E29" s="3">
        <v>1920</v>
      </c>
      <c r="F29" s="3">
        <v>4858</v>
      </c>
      <c r="G29" s="3">
        <v>68</v>
      </c>
      <c r="H29" s="3">
        <v>5504</v>
      </c>
      <c r="I29" s="3">
        <v>77</v>
      </c>
      <c r="J29" s="6">
        <v>9</v>
      </c>
      <c r="K29" s="8">
        <f t="shared" si="110"/>
        <v>1.1329765335529</v>
      </c>
      <c r="L29" s="8">
        <f t="shared" si="111"/>
        <v>1.81766543595569</v>
      </c>
      <c r="M29" s="8">
        <f t="shared" si="112"/>
        <v>1.81391499540853</v>
      </c>
      <c r="N29" s="8">
        <f t="shared" si="113"/>
        <v>2.05533342967709</v>
      </c>
      <c r="O29" s="8">
        <f t="shared" si="114"/>
        <v>17.9372197309417</v>
      </c>
      <c r="P29" s="9">
        <f t="shared" ref="P29:T29" si="133">Z29*8.6</f>
        <v>3028.06</v>
      </c>
      <c r="Q29" s="9">
        <f t="shared" ref="Q29:U29" si="134">P29/7142.4*100</f>
        <v>42.3955533154122</v>
      </c>
      <c r="R29" s="9">
        <f t="shared" si="133"/>
        <v>3034.3208</v>
      </c>
      <c r="S29" s="9">
        <f t="shared" si="134"/>
        <v>42.483210125448</v>
      </c>
      <c r="T29" s="9">
        <f t="shared" si="133"/>
        <v>2677.911</v>
      </c>
      <c r="U29" s="9">
        <f t="shared" si="134"/>
        <v>37.493153561828</v>
      </c>
      <c r="V29" s="9">
        <f t="shared" si="117"/>
        <v>306.848</v>
      </c>
      <c r="W29" s="9">
        <f t="shared" si="118"/>
        <v>4.29614695340502</v>
      </c>
      <c r="X29" s="2"/>
      <c r="Y29" s="3">
        <v>2</v>
      </c>
      <c r="Z29" s="3">
        <v>352.1</v>
      </c>
      <c r="AA29" s="9">
        <f t="shared" si="119"/>
        <v>47.0219017094017</v>
      </c>
      <c r="AB29" s="3">
        <v>352.828</v>
      </c>
      <c r="AC29" s="9">
        <f t="shared" ref="AC29:AG29" si="135">AB29/748.8*100</f>
        <v>47.1191239316239</v>
      </c>
      <c r="AD29" s="3">
        <v>311.385</v>
      </c>
      <c r="AE29" s="9">
        <f t="shared" si="135"/>
        <v>41.5845352564103</v>
      </c>
      <c r="AF29" s="3">
        <v>35.68</v>
      </c>
      <c r="AG29" s="9">
        <f t="shared" si="135"/>
        <v>4.76495726495727</v>
      </c>
      <c r="AH29" s="9">
        <f t="shared" si="121"/>
        <v>579.368421052632</v>
      </c>
      <c r="AI29" s="9">
        <f t="shared" si="122"/>
        <v>77.3729194781826</v>
      </c>
      <c r="AJ29" s="8">
        <f t="shared" si="123"/>
        <v>1.64546555254937</v>
      </c>
      <c r="AK29" s="8">
        <f t="shared" si="124"/>
        <v>1.64207041689614</v>
      </c>
      <c r="AL29" s="8">
        <f t="shared" si="125"/>
        <v>1.8606176310761</v>
      </c>
      <c r="AM29" s="8">
        <f t="shared" si="126"/>
        <v>16.2379041774841</v>
      </c>
      <c r="AN29" s="2"/>
      <c r="AO29" s="3">
        <v>2</v>
      </c>
      <c r="AP29" s="9">
        <v>1153.72</v>
      </c>
      <c r="AQ29" s="9">
        <f t="shared" ref="AQ29:AU29" si="136">AP29/2039.76*100</f>
        <v>56.561556261521</v>
      </c>
      <c r="AR29" s="9">
        <v>1173.152</v>
      </c>
      <c r="AS29" s="9">
        <f t="shared" si="136"/>
        <v>57.514217358905</v>
      </c>
      <c r="AT29" s="9">
        <v>338.96</v>
      </c>
      <c r="AU29" s="9">
        <f t="shared" si="136"/>
        <v>16.6176412911323</v>
      </c>
      <c r="AV29" s="9">
        <f t="shared" si="128"/>
        <v>1572.57142857143</v>
      </c>
      <c r="AW29" s="9">
        <f t="shared" si="129"/>
        <v>77.0959048403454</v>
      </c>
      <c r="AX29" s="8">
        <f t="shared" si="130"/>
        <v>1.36304426426813</v>
      </c>
      <c r="AY29" s="8">
        <f t="shared" si="131"/>
        <v>1.34046690332662</v>
      </c>
      <c r="AZ29" s="8">
        <f t="shared" si="132"/>
        <v>4.63940119356688</v>
      </c>
    </row>
    <row r="30" s="1" customFormat="1" ht="20.4" spans="1:52">
      <c r="A30" s="2"/>
      <c r="B30" s="3">
        <v>3</v>
      </c>
      <c r="C30" s="3">
        <v>12672</v>
      </c>
      <c r="D30" s="3">
        <v>17152</v>
      </c>
      <c r="E30" s="3">
        <v>1920</v>
      </c>
      <c r="F30" s="3">
        <v>5091</v>
      </c>
      <c r="G30" s="3">
        <v>71.2</v>
      </c>
      <c r="H30" s="3">
        <v>5598</v>
      </c>
      <c r="I30" s="3">
        <v>87.8</v>
      </c>
      <c r="J30" s="6">
        <v>7</v>
      </c>
      <c r="K30" s="8">
        <f t="shared" si="110"/>
        <v>1.09958750736594</v>
      </c>
      <c r="L30" s="8">
        <f t="shared" si="111"/>
        <v>1.84849841698796</v>
      </c>
      <c r="M30" s="8">
        <f t="shared" si="112"/>
        <v>1.84999568730909</v>
      </c>
      <c r="N30" s="8">
        <f t="shared" si="113"/>
        <v>2.11288848387456</v>
      </c>
      <c r="O30" s="8">
        <f t="shared" si="114"/>
        <v>21.0180895239955</v>
      </c>
      <c r="P30" s="9">
        <f t="shared" ref="P30:T30" si="137">Z30*8.6</f>
        <v>3028.404</v>
      </c>
      <c r="Q30" s="9">
        <f t="shared" ref="Q30:U30" si="138">P30/7142.4*100</f>
        <v>42.4003696236559</v>
      </c>
      <c r="R30" s="9">
        <f t="shared" si="137"/>
        <v>3025.953</v>
      </c>
      <c r="S30" s="9">
        <f t="shared" si="138"/>
        <v>42.3660534274194</v>
      </c>
      <c r="T30" s="9">
        <f t="shared" si="137"/>
        <v>2649.4536</v>
      </c>
      <c r="U30" s="9">
        <f t="shared" si="138"/>
        <v>37.0947244623656</v>
      </c>
      <c r="V30" s="9">
        <f t="shared" si="117"/>
        <v>266.342</v>
      </c>
      <c r="W30" s="9">
        <f t="shared" si="118"/>
        <v>3.72902665770609</v>
      </c>
      <c r="X30" s="2"/>
      <c r="Y30" s="3">
        <v>3</v>
      </c>
      <c r="Z30" s="3">
        <v>352.14</v>
      </c>
      <c r="AA30" s="9">
        <f t="shared" si="119"/>
        <v>47.0272435897436</v>
      </c>
      <c r="AB30" s="3">
        <v>351.855</v>
      </c>
      <c r="AC30" s="9">
        <f t="shared" ref="AC30:AG30" si="139">AB30/748.8*100</f>
        <v>46.9891826923077</v>
      </c>
      <c r="AD30" s="3">
        <v>308.076</v>
      </c>
      <c r="AE30" s="9">
        <f t="shared" si="139"/>
        <v>41.1426282051282</v>
      </c>
      <c r="AF30" s="3">
        <v>30.97</v>
      </c>
      <c r="AG30" s="9">
        <f t="shared" si="139"/>
        <v>4.13595085470085</v>
      </c>
      <c r="AH30" s="9">
        <f t="shared" si="121"/>
        <v>589.263157894737</v>
      </c>
      <c r="AI30" s="9">
        <f t="shared" si="122"/>
        <v>78.6943319838057</v>
      </c>
      <c r="AJ30" s="8">
        <f t="shared" si="123"/>
        <v>1.67337751432594</v>
      </c>
      <c r="AK30" s="8">
        <f t="shared" si="124"/>
        <v>1.67473293798507</v>
      </c>
      <c r="AL30" s="8">
        <f t="shared" si="125"/>
        <v>1.91272010119171</v>
      </c>
      <c r="AM30" s="8">
        <f t="shared" si="126"/>
        <v>19.0269020954064</v>
      </c>
      <c r="AN30" s="2"/>
      <c r="AO30" s="3">
        <v>3</v>
      </c>
      <c r="AP30" s="9">
        <v>1151.58</v>
      </c>
      <c r="AQ30" s="9">
        <f t="shared" ref="AQ30:AU30" si="140">AP30/2039.76*100</f>
        <v>56.4566419578774</v>
      </c>
      <c r="AR30" s="9">
        <v>1169.282</v>
      </c>
      <c r="AS30" s="9">
        <f t="shared" si="140"/>
        <v>57.3244891555869</v>
      </c>
      <c r="AT30" s="9">
        <v>335.44</v>
      </c>
      <c r="AU30" s="9">
        <f t="shared" si="140"/>
        <v>16.4450719692513</v>
      </c>
      <c r="AV30" s="9">
        <f t="shared" si="128"/>
        <v>1599.42857142857</v>
      </c>
      <c r="AW30" s="9">
        <f t="shared" si="129"/>
        <v>78.4125863546972</v>
      </c>
      <c r="AX30" s="8">
        <f t="shared" si="130"/>
        <v>1.38889922665257</v>
      </c>
      <c r="AY30" s="8">
        <f t="shared" si="131"/>
        <v>1.36787239641812</v>
      </c>
      <c r="AZ30" s="8">
        <f t="shared" si="132"/>
        <v>4.76815099996593</v>
      </c>
    </row>
    <row r="31" s="1" customFormat="1" ht="20.4" spans="1:52">
      <c r="A31" s="2"/>
      <c r="B31" s="3">
        <v>4</v>
      </c>
      <c r="C31" s="3">
        <v>12672</v>
      </c>
      <c r="D31" s="3">
        <v>14080</v>
      </c>
      <c r="E31" s="3">
        <v>1920</v>
      </c>
      <c r="F31" s="3">
        <v>4982</v>
      </c>
      <c r="G31" s="3">
        <v>69.7</v>
      </c>
      <c r="H31" s="3">
        <v>5506</v>
      </c>
      <c r="I31" s="3">
        <v>77.1</v>
      </c>
      <c r="J31" s="6">
        <v>7.3</v>
      </c>
      <c r="K31" s="8">
        <f t="shared" si="110"/>
        <v>1.10517864311521</v>
      </c>
      <c r="L31" s="8">
        <f t="shared" si="111"/>
        <v>1.82158522246432</v>
      </c>
      <c r="M31" s="8">
        <f t="shared" si="112"/>
        <v>1.81603074257055</v>
      </c>
      <c r="N31" s="8">
        <f t="shared" si="113"/>
        <v>2.05753397117136</v>
      </c>
      <c r="O31" s="8">
        <f t="shared" si="114"/>
        <v>20.6793461931374</v>
      </c>
      <c r="P31" s="9">
        <f t="shared" ref="P31:T31" si="141">Z31*8.6</f>
        <v>3022.642</v>
      </c>
      <c r="Q31" s="9">
        <f t="shared" ref="Q31:U31" si="142">P31/7142.4*100</f>
        <v>42.3196964605735</v>
      </c>
      <c r="R31" s="9">
        <f t="shared" si="141"/>
        <v>3031.887</v>
      </c>
      <c r="S31" s="9">
        <f t="shared" si="142"/>
        <v>42.4491347446237</v>
      </c>
      <c r="T31" s="9">
        <f t="shared" si="141"/>
        <v>2676.019</v>
      </c>
      <c r="U31" s="9">
        <f t="shared" si="142"/>
        <v>37.4666638664875</v>
      </c>
      <c r="V31" s="9">
        <f t="shared" si="117"/>
        <v>266.256</v>
      </c>
      <c r="W31" s="9">
        <f t="shared" si="118"/>
        <v>3.72782258064516</v>
      </c>
      <c r="X31" s="2"/>
      <c r="Y31" s="3">
        <v>4</v>
      </c>
      <c r="Z31" s="3">
        <v>351.47</v>
      </c>
      <c r="AA31" s="9">
        <f t="shared" si="119"/>
        <v>46.9377670940171</v>
      </c>
      <c r="AB31" s="3">
        <v>352.545</v>
      </c>
      <c r="AC31" s="9">
        <f t="shared" ref="AC31:AG31" si="143">AB31/748.8*100</f>
        <v>47.0813301282051</v>
      </c>
      <c r="AD31" s="3">
        <v>311.165</v>
      </c>
      <c r="AE31" s="9">
        <f t="shared" si="143"/>
        <v>41.5551549145299</v>
      </c>
      <c r="AF31" s="3">
        <v>30.96</v>
      </c>
      <c r="AG31" s="9">
        <f t="shared" si="143"/>
        <v>4.13461538461539</v>
      </c>
      <c r="AH31" s="9">
        <f t="shared" si="121"/>
        <v>579.578947368421</v>
      </c>
      <c r="AI31" s="9">
        <f t="shared" si="122"/>
        <v>77.4010346378767</v>
      </c>
      <c r="AJ31" s="8">
        <f t="shared" si="123"/>
        <v>1.64901399086244</v>
      </c>
      <c r="AK31" s="8">
        <f t="shared" si="124"/>
        <v>1.64398572485334</v>
      </c>
      <c r="AL31" s="8">
        <f t="shared" si="125"/>
        <v>1.86260970021828</v>
      </c>
      <c r="AM31" s="8">
        <f t="shared" si="126"/>
        <v>18.7202502379981</v>
      </c>
      <c r="AN31" s="2"/>
      <c r="AO31" s="3">
        <v>4</v>
      </c>
      <c r="AP31" s="9">
        <v>1145.96</v>
      </c>
      <c r="AQ31" s="9">
        <f t="shared" ref="AQ31:AU31" si="144">AP31/2039.76*100</f>
        <v>56.1811193473742</v>
      </c>
      <c r="AR31" s="9">
        <v>1161.256</v>
      </c>
      <c r="AS31" s="9">
        <f t="shared" si="144"/>
        <v>56.931011491548</v>
      </c>
      <c r="AT31" s="9">
        <v>336.85</v>
      </c>
      <c r="AU31" s="9">
        <f t="shared" si="144"/>
        <v>16.5141977487548</v>
      </c>
      <c r="AV31" s="9">
        <f t="shared" si="128"/>
        <v>1573.14285714286</v>
      </c>
      <c r="AW31" s="9">
        <f t="shared" si="129"/>
        <v>77.1239193406507</v>
      </c>
      <c r="AX31" s="8">
        <f t="shared" si="130"/>
        <v>1.37277292151808</v>
      </c>
      <c r="AY31" s="8">
        <f t="shared" si="131"/>
        <v>1.35469083229095</v>
      </c>
      <c r="AZ31" s="8">
        <f t="shared" si="132"/>
        <v>4.67015840030535</v>
      </c>
    </row>
    <row r="32" s="1" customFormat="1" ht="20.4" spans="1:52">
      <c r="A32" s="2"/>
      <c r="B32" s="3">
        <v>5</v>
      </c>
      <c r="C32" s="3">
        <v>12672</v>
      </c>
      <c r="D32" s="3">
        <v>5632</v>
      </c>
      <c r="E32" s="3">
        <v>1920</v>
      </c>
      <c r="F32" s="3">
        <v>4571</v>
      </c>
      <c r="G32" s="3">
        <v>63.9</v>
      </c>
      <c r="H32" s="3">
        <v>5130</v>
      </c>
      <c r="I32" s="3">
        <v>71.8</v>
      </c>
      <c r="J32" s="6">
        <v>7.8</v>
      </c>
      <c r="K32" s="8">
        <f t="shared" si="110"/>
        <v>1.12229271494203</v>
      </c>
      <c r="L32" s="8">
        <f t="shared" si="111"/>
        <v>1.6876832024529</v>
      </c>
      <c r="M32" s="8">
        <f t="shared" si="112"/>
        <v>1.68892080462689</v>
      </c>
      <c r="N32" s="8">
        <f t="shared" si="113"/>
        <v>1.92245743574308</v>
      </c>
      <c r="O32" s="8">
        <f t="shared" si="114"/>
        <v>22.1422282073859</v>
      </c>
      <c r="P32" s="9">
        <f t="shared" ref="P32:T32" si="145">Z32*8.6</f>
        <v>3039.67</v>
      </c>
      <c r="Q32" s="9">
        <f t="shared" ref="Q32:U32" si="146">P32/7142.4*100</f>
        <v>42.558103718638</v>
      </c>
      <c r="R32" s="9">
        <f t="shared" si="145"/>
        <v>3037.4426</v>
      </c>
      <c r="S32" s="9">
        <f t="shared" si="146"/>
        <v>42.5269181227599</v>
      </c>
      <c r="T32" s="9">
        <f t="shared" si="145"/>
        <v>2668.4596</v>
      </c>
      <c r="U32" s="9">
        <f t="shared" si="146"/>
        <v>37.3608254928315</v>
      </c>
      <c r="V32" s="9">
        <f t="shared" si="117"/>
        <v>231.684</v>
      </c>
      <c r="W32" s="9">
        <f t="shared" si="118"/>
        <v>3.24378360215054</v>
      </c>
      <c r="X32" s="2"/>
      <c r="Y32" s="3">
        <v>5</v>
      </c>
      <c r="Z32" s="3">
        <v>353.45</v>
      </c>
      <c r="AA32" s="9">
        <f t="shared" si="119"/>
        <v>47.2021901709402</v>
      </c>
      <c r="AB32" s="3">
        <v>353.191</v>
      </c>
      <c r="AC32" s="9">
        <f t="shared" ref="AC32:AG32" si="147">AB32/748.8*100</f>
        <v>47.1676014957265</v>
      </c>
      <c r="AD32" s="3">
        <v>310.286</v>
      </c>
      <c r="AE32" s="9">
        <f t="shared" si="147"/>
        <v>41.4377670940171</v>
      </c>
      <c r="AF32" s="3">
        <v>26.94</v>
      </c>
      <c r="AG32" s="9">
        <f t="shared" si="147"/>
        <v>3.59775641025641</v>
      </c>
      <c r="AH32" s="9">
        <f t="shared" si="121"/>
        <v>540</v>
      </c>
      <c r="AI32" s="9">
        <f t="shared" si="122"/>
        <v>72.1153846153846</v>
      </c>
      <c r="AJ32" s="8">
        <f t="shared" si="123"/>
        <v>1.52779742537841</v>
      </c>
      <c r="AK32" s="8">
        <f t="shared" si="124"/>
        <v>1.52891778103066</v>
      </c>
      <c r="AL32" s="8">
        <f t="shared" si="125"/>
        <v>1.740329889199</v>
      </c>
      <c r="AM32" s="8">
        <f t="shared" si="126"/>
        <v>20.0445434298441</v>
      </c>
      <c r="AN32" s="2"/>
      <c r="AO32" s="3">
        <v>5</v>
      </c>
      <c r="AP32" s="9">
        <v>1112.66</v>
      </c>
      <c r="AQ32" s="9">
        <f t="shared" ref="AQ32:AU32" si="148">AP32/2039.76*100</f>
        <v>54.5485743420795</v>
      </c>
      <c r="AR32" s="9">
        <v>1160.783</v>
      </c>
      <c r="AS32" s="9">
        <f t="shared" si="148"/>
        <v>56.9078224889203</v>
      </c>
      <c r="AT32" s="9">
        <v>334.3</v>
      </c>
      <c r="AU32" s="9">
        <f t="shared" si="148"/>
        <v>16.3891830411421</v>
      </c>
      <c r="AV32" s="9">
        <f t="shared" si="128"/>
        <v>1465.71428571429</v>
      </c>
      <c r="AW32" s="9">
        <f t="shared" si="129"/>
        <v>71.8571932832434</v>
      </c>
      <c r="AX32" s="8">
        <f t="shared" si="130"/>
        <v>1.31730653183748</v>
      </c>
      <c r="AY32" s="8">
        <f t="shared" si="131"/>
        <v>1.26269447925606</v>
      </c>
      <c r="AZ32" s="8">
        <f t="shared" si="132"/>
        <v>4.38442801589676</v>
      </c>
    </row>
    <row r="33" s="1" customFormat="1" ht="20.4" spans="1:52">
      <c r="A33" s="2"/>
      <c r="B33" s="3">
        <v>6</v>
      </c>
      <c r="C33" s="3">
        <v>12672</v>
      </c>
      <c r="D33" s="3">
        <v>19072</v>
      </c>
      <c r="E33" s="3">
        <v>1920</v>
      </c>
      <c r="F33" s="3">
        <v>4987</v>
      </c>
      <c r="G33" s="3">
        <v>69.8</v>
      </c>
      <c r="H33" s="3">
        <v>5575</v>
      </c>
      <c r="I33" s="3">
        <v>78</v>
      </c>
      <c r="J33" s="6">
        <v>8.2</v>
      </c>
      <c r="K33" s="8">
        <f t="shared" si="110"/>
        <v>1.11790655704833</v>
      </c>
      <c r="L33" s="8">
        <f t="shared" si="111"/>
        <v>1.85205363680215</v>
      </c>
      <c r="M33" s="8">
        <f t="shared" si="112"/>
        <v>1.83512946698492</v>
      </c>
      <c r="N33" s="8">
        <f t="shared" si="113"/>
        <v>2.08428980114941</v>
      </c>
      <c r="O33" s="8">
        <f t="shared" si="114"/>
        <v>17.9572247632545</v>
      </c>
      <c r="P33" s="9">
        <f t="shared" ref="P33:T33" si="149">Z33*8.6</f>
        <v>3010.172</v>
      </c>
      <c r="Q33" s="9">
        <f t="shared" ref="Q33:U33" si="150">P33/7142.4*100</f>
        <v>42.1451052867383</v>
      </c>
      <c r="R33" s="9">
        <f t="shared" si="149"/>
        <v>3037.9328</v>
      </c>
      <c r="S33" s="9">
        <f t="shared" si="150"/>
        <v>42.5337813620072</v>
      </c>
      <c r="T33" s="9">
        <f t="shared" si="149"/>
        <v>2674.772</v>
      </c>
      <c r="U33" s="9">
        <f t="shared" si="150"/>
        <v>37.4492047491039</v>
      </c>
      <c r="V33" s="9">
        <f t="shared" si="117"/>
        <v>310.46</v>
      </c>
      <c r="W33" s="9">
        <f t="shared" si="118"/>
        <v>4.34671818996416</v>
      </c>
      <c r="X33" s="2"/>
      <c r="Y33" s="3">
        <v>6</v>
      </c>
      <c r="Z33" s="3">
        <v>350.02</v>
      </c>
      <c r="AA33" s="9">
        <f t="shared" si="119"/>
        <v>46.7441239316239</v>
      </c>
      <c r="AB33" s="3">
        <v>353.248</v>
      </c>
      <c r="AC33" s="9">
        <f t="shared" ref="AC33:AG33" si="151">AB33/748.8*100</f>
        <v>47.1752136752137</v>
      </c>
      <c r="AD33" s="3">
        <v>311.02</v>
      </c>
      <c r="AE33" s="9">
        <f t="shared" si="151"/>
        <v>41.5357905982906</v>
      </c>
      <c r="AF33" s="3">
        <v>36.1</v>
      </c>
      <c r="AG33" s="9">
        <f t="shared" si="151"/>
        <v>4.82104700854701</v>
      </c>
      <c r="AH33" s="9">
        <f t="shared" si="121"/>
        <v>586.842105263158</v>
      </c>
      <c r="AI33" s="9">
        <f t="shared" si="122"/>
        <v>78.3710076473234</v>
      </c>
      <c r="AJ33" s="8">
        <f t="shared" si="123"/>
        <v>1.67659592384195</v>
      </c>
      <c r="AK33" s="8">
        <f t="shared" si="124"/>
        <v>1.66127509642845</v>
      </c>
      <c r="AL33" s="8">
        <f t="shared" si="125"/>
        <v>1.8868307673563</v>
      </c>
      <c r="AM33" s="8">
        <f t="shared" si="126"/>
        <v>16.2560139962094</v>
      </c>
      <c r="AN33" s="2"/>
      <c r="AO33" s="3">
        <v>6</v>
      </c>
      <c r="AP33" s="9">
        <v>1150.93</v>
      </c>
      <c r="AQ33" s="9">
        <f t="shared" ref="AQ33:AU33" si="152">AP33/2039.76*100</f>
        <v>56.4247754637801</v>
      </c>
      <c r="AR33" s="9">
        <v>1178.978</v>
      </c>
      <c r="AS33" s="9">
        <f t="shared" si="152"/>
        <v>57.7998391967683</v>
      </c>
      <c r="AT33" s="9">
        <v>335.78</v>
      </c>
      <c r="AU33" s="9">
        <f t="shared" si="152"/>
        <v>16.461740596933</v>
      </c>
      <c r="AV33" s="9">
        <f t="shared" si="128"/>
        <v>1592.85714285714</v>
      </c>
      <c r="AW33" s="9">
        <f t="shared" si="129"/>
        <v>78.0904196011856</v>
      </c>
      <c r="AX33" s="8">
        <f t="shared" si="130"/>
        <v>1.38397395398256</v>
      </c>
      <c r="AY33" s="8">
        <f t="shared" si="131"/>
        <v>1.35104908052325</v>
      </c>
      <c r="AZ33" s="8">
        <f t="shared" si="132"/>
        <v>4.74375228678642</v>
      </c>
    </row>
    <row r="34" s="1" customFormat="1" ht="20.4" spans="1:52">
      <c r="A34" s="2"/>
      <c r="B34" s="3">
        <v>7</v>
      </c>
      <c r="C34" s="3">
        <v>10368</v>
      </c>
      <c r="D34" s="3">
        <v>77824</v>
      </c>
      <c r="E34" s="3">
        <v>1920</v>
      </c>
      <c r="F34" s="3">
        <v>5622</v>
      </c>
      <c r="G34" s="3">
        <v>78.7</v>
      </c>
      <c r="H34" s="3">
        <v>6108</v>
      </c>
      <c r="I34" s="3">
        <v>85.5</v>
      </c>
      <c r="J34" s="6">
        <v>6.8</v>
      </c>
      <c r="K34" s="8">
        <f t="shared" si="110"/>
        <v>1.08644610458911</v>
      </c>
      <c r="L34" s="8">
        <f t="shared" si="111"/>
        <v>2.03908173219125</v>
      </c>
      <c r="M34" s="8">
        <f t="shared" si="112"/>
        <v>1.99447502987794</v>
      </c>
      <c r="N34" s="8">
        <f t="shared" si="113"/>
        <v>2.23832765994716</v>
      </c>
      <c r="O34" s="8">
        <f t="shared" si="114"/>
        <v>33.0648304534234</v>
      </c>
      <c r="P34" s="9">
        <f t="shared" ref="P34:T34" si="153">Z34*8.6</f>
        <v>2995.466</v>
      </c>
      <c r="Q34" s="9">
        <f t="shared" ref="Q34:U34" si="154">P34/7142.4*100</f>
        <v>41.939208109319</v>
      </c>
      <c r="R34" s="9">
        <f t="shared" si="153"/>
        <v>3062.46</v>
      </c>
      <c r="S34" s="9">
        <f t="shared" si="154"/>
        <v>42.8771841397849</v>
      </c>
      <c r="T34" s="9">
        <f t="shared" si="153"/>
        <v>2728.823</v>
      </c>
      <c r="U34" s="9">
        <f t="shared" si="154"/>
        <v>38.2059671818996</v>
      </c>
      <c r="V34" s="9">
        <f t="shared" si="117"/>
        <v>184.728</v>
      </c>
      <c r="W34" s="9">
        <f t="shared" si="118"/>
        <v>2.58635752688172</v>
      </c>
      <c r="X34" s="2"/>
      <c r="Y34" s="3">
        <v>7</v>
      </c>
      <c r="Z34" s="3">
        <v>348.31</v>
      </c>
      <c r="AA34" s="9">
        <f t="shared" si="119"/>
        <v>46.5157585470086</v>
      </c>
      <c r="AB34" s="3">
        <v>356.1</v>
      </c>
      <c r="AC34" s="9">
        <f t="shared" ref="AC34:AG34" si="155">AB34/748.8*100</f>
        <v>47.5560897435898</v>
      </c>
      <c r="AD34" s="3">
        <v>317.305</v>
      </c>
      <c r="AE34" s="9">
        <f t="shared" si="155"/>
        <v>42.3751335470085</v>
      </c>
      <c r="AF34" s="3">
        <v>21.48</v>
      </c>
      <c r="AG34" s="9">
        <f t="shared" si="155"/>
        <v>2.86858974358974</v>
      </c>
      <c r="AH34" s="9">
        <f t="shared" si="121"/>
        <v>642.947368421053</v>
      </c>
      <c r="AI34" s="9">
        <f t="shared" si="122"/>
        <v>85.863697705803</v>
      </c>
      <c r="AJ34" s="8">
        <f t="shared" si="123"/>
        <v>1.84590556808892</v>
      </c>
      <c r="AK34" s="8">
        <f t="shared" si="124"/>
        <v>1.8055247638895</v>
      </c>
      <c r="AL34" s="8">
        <f t="shared" si="125"/>
        <v>2.02627556584691</v>
      </c>
      <c r="AM34" s="8">
        <f t="shared" si="126"/>
        <v>29.9323728315201</v>
      </c>
      <c r="AN34" s="2"/>
      <c r="AO34" s="3">
        <v>7</v>
      </c>
      <c r="AP34" s="9">
        <v>1109.76</v>
      </c>
      <c r="AQ34" s="9">
        <f t="shared" ref="AQ34:AU34" si="156">AP34/2039.76*100</f>
        <v>54.4064007530298</v>
      </c>
      <c r="AR34" s="9">
        <v>1173.62</v>
      </c>
      <c r="AS34" s="9">
        <f t="shared" si="156"/>
        <v>57.5371612346551</v>
      </c>
      <c r="AT34" s="9">
        <v>334.97</v>
      </c>
      <c r="AU34" s="9">
        <f t="shared" si="156"/>
        <v>16.4220300427501</v>
      </c>
      <c r="AV34" s="9">
        <f t="shared" si="128"/>
        <v>1745.14285714286</v>
      </c>
      <c r="AW34" s="9">
        <f t="shared" si="129"/>
        <v>85.5562839325635</v>
      </c>
      <c r="AX34" s="8">
        <f t="shared" si="130"/>
        <v>1.57254078101829</v>
      </c>
      <c r="AY34" s="8">
        <f t="shared" si="131"/>
        <v>1.48697436746379</v>
      </c>
      <c r="AZ34" s="8">
        <f t="shared" si="132"/>
        <v>5.20984821668465</v>
      </c>
    </row>
    <row r="35" s="1" customFormat="1" ht="20.4" spans="1:52">
      <c r="A35" s="2"/>
      <c r="B35" s="3">
        <v>8</v>
      </c>
      <c r="C35" s="3">
        <v>10368</v>
      </c>
      <c r="D35" s="3">
        <v>75904</v>
      </c>
      <c r="E35" s="3">
        <v>1920</v>
      </c>
      <c r="F35" s="3">
        <v>5658</v>
      </c>
      <c r="G35" s="3">
        <v>79.2</v>
      </c>
      <c r="H35" s="3">
        <v>6116</v>
      </c>
      <c r="I35" s="3">
        <v>85.6</v>
      </c>
      <c r="J35" s="6">
        <v>6.4</v>
      </c>
      <c r="K35" s="8">
        <f t="shared" si="110"/>
        <v>1.08094733121244</v>
      </c>
      <c r="L35" s="8">
        <f t="shared" si="111"/>
        <v>2.02812716582825</v>
      </c>
      <c r="M35" s="8">
        <f t="shared" si="112"/>
        <v>2.01163366295927</v>
      </c>
      <c r="N35" s="8">
        <f t="shared" si="113"/>
        <v>2.23427424920019</v>
      </c>
      <c r="O35" s="8">
        <f t="shared" si="114"/>
        <v>23.5328521077986</v>
      </c>
      <c r="P35" s="9">
        <f t="shared" ref="P35:T35" si="157">Z35*8.6</f>
        <v>3015.59</v>
      </c>
      <c r="Q35" s="9">
        <f t="shared" ref="Q35:U35" si="158">P35/7142.4*100</f>
        <v>42.2209621415771</v>
      </c>
      <c r="R35" s="9">
        <f t="shared" si="157"/>
        <v>3040.315</v>
      </c>
      <c r="S35" s="9">
        <f t="shared" si="158"/>
        <v>42.567134296595</v>
      </c>
      <c r="T35" s="9">
        <f t="shared" si="157"/>
        <v>2737.3542</v>
      </c>
      <c r="U35" s="9">
        <f t="shared" si="158"/>
        <v>38.3254116263441</v>
      </c>
      <c r="V35" s="9">
        <f t="shared" si="117"/>
        <v>259.892</v>
      </c>
      <c r="W35" s="9">
        <f t="shared" si="118"/>
        <v>3.6387208781362</v>
      </c>
      <c r="X35" s="2"/>
      <c r="Y35" s="3">
        <v>8</v>
      </c>
      <c r="Z35" s="3">
        <v>350.65</v>
      </c>
      <c r="AA35" s="9">
        <f t="shared" si="119"/>
        <v>46.8282585470085</v>
      </c>
      <c r="AB35" s="3">
        <v>353.525</v>
      </c>
      <c r="AC35" s="9">
        <f t="shared" ref="AC35:AG35" si="159">AB35/748.8*100</f>
        <v>47.2122061965812</v>
      </c>
      <c r="AD35" s="3">
        <v>318.297</v>
      </c>
      <c r="AE35" s="9">
        <f t="shared" si="159"/>
        <v>42.5076121794872</v>
      </c>
      <c r="AF35" s="3">
        <v>30.22</v>
      </c>
      <c r="AG35" s="9">
        <f t="shared" si="159"/>
        <v>4.0357905982906</v>
      </c>
      <c r="AH35" s="9">
        <f t="shared" si="121"/>
        <v>643.789473684211</v>
      </c>
      <c r="AI35" s="9">
        <f t="shared" si="122"/>
        <v>85.9761583445794</v>
      </c>
      <c r="AJ35" s="8">
        <f t="shared" si="123"/>
        <v>1.83598880274978</v>
      </c>
      <c r="AK35" s="8">
        <f t="shared" si="124"/>
        <v>1.82105784225786</v>
      </c>
      <c r="AL35" s="8">
        <f t="shared" si="125"/>
        <v>2.02260616243386</v>
      </c>
      <c r="AM35" s="8">
        <f t="shared" si="126"/>
        <v>21.3034240133756</v>
      </c>
      <c r="AN35" s="2"/>
      <c r="AO35" s="3">
        <v>8</v>
      </c>
      <c r="AP35" s="9">
        <v>1167.83</v>
      </c>
      <c r="AQ35" s="9">
        <f t="shared" ref="AQ35:AU35" si="160">AP35/2039.76*100</f>
        <v>57.253304310311</v>
      </c>
      <c r="AR35" s="9">
        <v>1189.043</v>
      </c>
      <c r="AS35" s="9">
        <f t="shared" si="160"/>
        <v>58.2932796015217</v>
      </c>
      <c r="AT35" s="9">
        <v>317.29</v>
      </c>
      <c r="AU35" s="9">
        <f t="shared" si="160"/>
        <v>15.5552614033024</v>
      </c>
      <c r="AV35" s="9">
        <f t="shared" si="128"/>
        <v>1747.42857142857</v>
      </c>
      <c r="AW35" s="9">
        <f t="shared" si="129"/>
        <v>85.6683419337849</v>
      </c>
      <c r="AX35" s="8">
        <f t="shared" si="130"/>
        <v>1.49630388963169</v>
      </c>
      <c r="AY35" s="8">
        <f t="shared" si="131"/>
        <v>1.46960923316362</v>
      </c>
      <c r="AZ35" s="8">
        <f t="shared" si="132"/>
        <v>5.50735469579429</v>
      </c>
    </row>
    <row r="36" s="1" customFormat="1" ht="20.4" spans="1:52">
      <c r="A36" s="2"/>
      <c r="B36" s="3">
        <v>9</v>
      </c>
      <c r="C36" s="3">
        <v>10368</v>
      </c>
      <c r="D36" s="3">
        <v>80896</v>
      </c>
      <c r="E36" s="3">
        <v>1920</v>
      </c>
      <c r="F36" s="3">
        <v>5676</v>
      </c>
      <c r="G36" s="3">
        <v>79.4</v>
      </c>
      <c r="H36" s="3">
        <v>6114</v>
      </c>
      <c r="I36" s="3">
        <v>85.6</v>
      </c>
      <c r="J36" s="6">
        <v>6.2</v>
      </c>
      <c r="K36" s="8">
        <f t="shared" si="110"/>
        <v>1.07716701902748</v>
      </c>
      <c r="L36" s="8">
        <f t="shared" si="111"/>
        <v>2.00935596099076</v>
      </c>
      <c r="M36" s="8">
        <f t="shared" si="112"/>
        <v>2.00635048980679</v>
      </c>
      <c r="N36" s="8">
        <f t="shared" si="113"/>
        <v>2.29707274634771</v>
      </c>
      <c r="O36" s="8">
        <f t="shared" si="114"/>
        <v>31.5688380354414</v>
      </c>
      <c r="P36" s="9">
        <f t="shared" ref="P36:T36" si="161">Z36*8.6</f>
        <v>3042.766</v>
      </c>
      <c r="Q36" s="9">
        <f t="shared" ref="Q36:U36" si="162">P36/7142.4*100</f>
        <v>42.6014504928315</v>
      </c>
      <c r="R36" s="9">
        <f t="shared" si="161"/>
        <v>3047.324</v>
      </c>
      <c r="S36" s="9">
        <f t="shared" si="162"/>
        <v>42.6652665770609</v>
      </c>
      <c r="T36" s="9">
        <f t="shared" si="161"/>
        <v>2661.6484</v>
      </c>
      <c r="U36" s="9">
        <f t="shared" si="162"/>
        <v>37.2654625896057</v>
      </c>
      <c r="V36" s="9">
        <f t="shared" si="117"/>
        <v>193.672</v>
      </c>
      <c r="W36" s="9">
        <f t="shared" si="118"/>
        <v>2.71158154121864</v>
      </c>
      <c r="X36" s="2"/>
      <c r="Y36" s="3">
        <v>9</v>
      </c>
      <c r="Z36" s="3">
        <v>353.81</v>
      </c>
      <c r="AA36" s="9">
        <f t="shared" si="119"/>
        <v>47.2502670940171</v>
      </c>
      <c r="AB36" s="3">
        <v>354.34</v>
      </c>
      <c r="AC36" s="9">
        <f t="shared" ref="AC36:AG36" si="163">AB36/748.8*100</f>
        <v>47.321047008547</v>
      </c>
      <c r="AD36" s="3">
        <v>309.494</v>
      </c>
      <c r="AE36" s="9">
        <f t="shared" si="163"/>
        <v>41.3319978632479</v>
      </c>
      <c r="AF36" s="3">
        <v>22.52</v>
      </c>
      <c r="AG36" s="9">
        <f t="shared" si="163"/>
        <v>3.00747863247863</v>
      </c>
      <c r="AH36" s="9">
        <f t="shared" si="121"/>
        <v>643.578947368421</v>
      </c>
      <c r="AI36" s="9">
        <f t="shared" si="122"/>
        <v>85.9480431848853</v>
      </c>
      <c r="AJ36" s="8">
        <f t="shared" si="123"/>
        <v>1.81899592258111</v>
      </c>
      <c r="AK36" s="8">
        <f t="shared" si="124"/>
        <v>1.81627518024615</v>
      </c>
      <c r="AL36" s="8">
        <f t="shared" si="125"/>
        <v>2.07945532827267</v>
      </c>
      <c r="AM36" s="8">
        <f t="shared" si="126"/>
        <v>28.5781060110311</v>
      </c>
      <c r="AN36" s="2"/>
      <c r="AO36" s="3">
        <v>9</v>
      </c>
      <c r="AP36" s="9">
        <v>1142.68</v>
      </c>
      <c r="AQ36" s="9">
        <f t="shared" ref="AQ36:AU36" si="164">AP36/2039.76*100</f>
        <v>56.0203161156214</v>
      </c>
      <c r="AR36" s="9">
        <v>1181.521</v>
      </c>
      <c r="AS36" s="9">
        <f t="shared" si="164"/>
        <v>57.9245107267522</v>
      </c>
      <c r="AT36" s="9">
        <v>326.8</v>
      </c>
      <c r="AU36" s="9">
        <f t="shared" si="164"/>
        <v>16.0214927246343</v>
      </c>
      <c r="AV36" s="9">
        <f t="shared" si="128"/>
        <v>1746.85714285714</v>
      </c>
      <c r="AW36" s="9">
        <f t="shared" si="129"/>
        <v>85.6403274334796</v>
      </c>
      <c r="AX36" s="8">
        <f t="shared" si="130"/>
        <v>1.52873695422791</v>
      </c>
      <c r="AY36" s="8">
        <f t="shared" si="131"/>
        <v>1.47848167138556</v>
      </c>
      <c r="AZ36" s="8">
        <f t="shared" si="132"/>
        <v>5.3453400944221</v>
      </c>
    </row>
    <row r="37" s="1" customFormat="1" ht="20.4" spans="1:52">
      <c r="A37" s="2"/>
      <c r="B37" s="3">
        <v>10</v>
      </c>
      <c r="C37" s="3">
        <v>8064</v>
      </c>
      <c r="D37" s="3">
        <v>76288</v>
      </c>
      <c r="E37" s="3">
        <v>1920</v>
      </c>
      <c r="F37" s="3">
        <v>5485</v>
      </c>
      <c r="G37" s="3">
        <v>76.8</v>
      </c>
      <c r="H37" s="3">
        <v>6068</v>
      </c>
      <c r="I37" s="3">
        <v>84.9</v>
      </c>
      <c r="J37" s="6">
        <v>8.1</v>
      </c>
      <c r="K37" s="8">
        <f t="shared" si="110"/>
        <v>1.10628988149499</v>
      </c>
      <c r="L37" s="8">
        <f t="shared" si="111"/>
        <v>1.99683428710581</v>
      </c>
      <c r="M37" s="8">
        <f t="shared" si="112"/>
        <v>2.00204123743041</v>
      </c>
      <c r="N37" s="8">
        <f t="shared" si="113"/>
        <v>2.26662232035785</v>
      </c>
      <c r="O37" s="8">
        <f t="shared" si="114"/>
        <v>30.2694721299372</v>
      </c>
      <c r="P37" s="9">
        <f t="shared" ref="P37:T37" si="165">Z37*8.6</f>
        <v>3038.81</v>
      </c>
      <c r="Q37" s="9">
        <f t="shared" ref="Q37:U37" si="166">P37/7142.4*100</f>
        <v>42.5460629480287</v>
      </c>
      <c r="R37" s="9">
        <f t="shared" si="165"/>
        <v>3030.9066</v>
      </c>
      <c r="S37" s="9">
        <f t="shared" si="166"/>
        <v>42.435408266129</v>
      </c>
      <c r="T37" s="9">
        <f t="shared" si="165"/>
        <v>2677.1112</v>
      </c>
      <c r="U37" s="9">
        <f t="shared" si="166"/>
        <v>37.4819556451613</v>
      </c>
      <c r="V37" s="9">
        <f t="shared" si="117"/>
        <v>200.466</v>
      </c>
      <c r="W37" s="9">
        <f t="shared" si="118"/>
        <v>2.80670362903226</v>
      </c>
      <c r="X37" s="2"/>
      <c r="Y37" s="3">
        <v>10</v>
      </c>
      <c r="Z37" s="3">
        <v>353.35</v>
      </c>
      <c r="AA37" s="9">
        <f t="shared" si="119"/>
        <v>47.1888354700855</v>
      </c>
      <c r="AB37" s="3">
        <v>352.431</v>
      </c>
      <c r="AC37" s="9">
        <f t="shared" ref="AC37:AG37" si="167">AB37/748.8*100</f>
        <v>47.0661057692308</v>
      </c>
      <c r="AD37" s="3">
        <v>311.292</v>
      </c>
      <c r="AE37" s="9">
        <f t="shared" si="167"/>
        <v>41.5721153846154</v>
      </c>
      <c r="AF37" s="3">
        <v>23.31</v>
      </c>
      <c r="AG37" s="9">
        <f t="shared" si="167"/>
        <v>3.11298076923077</v>
      </c>
      <c r="AH37" s="9">
        <f t="shared" si="121"/>
        <v>638.736842105263</v>
      </c>
      <c r="AI37" s="9">
        <f t="shared" si="122"/>
        <v>85.3013945119208</v>
      </c>
      <c r="AJ37" s="8">
        <f t="shared" si="123"/>
        <v>1.80766051253789</v>
      </c>
      <c r="AK37" s="8">
        <f t="shared" si="124"/>
        <v>1.81237417283174</v>
      </c>
      <c r="AL37" s="8">
        <f t="shared" si="125"/>
        <v>2.05188967948185</v>
      </c>
      <c r="AM37" s="8">
        <f t="shared" si="126"/>
        <v>27.4018379281537</v>
      </c>
      <c r="AN37" s="2"/>
      <c r="AO37" s="3">
        <v>10</v>
      </c>
      <c r="AP37" s="9">
        <v>1144.49</v>
      </c>
      <c r="AQ37" s="9">
        <f t="shared" ref="AQ37:AU37" si="168">AP37/2039.76*100</f>
        <v>56.1090520453387</v>
      </c>
      <c r="AR37" s="9">
        <v>1176.57</v>
      </c>
      <c r="AS37" s="9">
        <f t="shared" si="168"/>
        <v>57.6817860924815</v>
      </c>
      <c r="AT37" s="9">
        <v>319.62</v>
      </c>
      <c r="AU37" s="9">
        <f t="shared" si="168"/>
        <v>15.6694905282974</v>
      </c>
      <c r="AV37" s="9">
        <f t="shared" si="128"/>
        <v>1733.71428571429</v>
      </c>
      <c r="AW37" s="9">
        <f t="shared" si="129"/>
        <v>84.9959939264563</v>
      </c>
      <c r="AX37" s="8">
        <f t="shared" si="130"/>
        <v>1.51483567852431</v>
      </c>
      <c r="AY37" s="8">
        <f t="shared" si="131"/>
        <v>1.47353262934996</v>
      </c>
      <c r="AZ37" s="8">
        <f t="shared" si="132"/>
        <v>5.42429849732271</v>
      </c>
    </row>
    <row r="38" s="1" customFormat="1" ht="20.4" spans="1:52">
      <c r="A38" s="2"/>
      <c r="B38" s="3">
        <v>11</v>
      </c>
      <c r="C38" s="3">
        <v>8064</v>
      </c>
      <c r="D38" s="3">
        <v>74752</v>
      </c>
      <c r="E38" s="3">
        <v>1920</v>
      </c>
      <c r="F38" s="3">
        <v>5472</v>
      </c>
      <c r="G38" s="3">
        <v>76.6</v>
      </c>
      <c r="H38" s="3">
        <v>6066</v>
      </c>
      <c r="I38" s="3">
        <v>84.9</v>
      </c>
      <c r="J38" s="6">
        <v>8.3</v>
      </c>
      <c r="K38" s="8">
        <f t="shared" si="110"/>
        <v>1.10855263157895</v>
      </c>
      <c r="L38" s="8">
        <f t="shared" si="111"/>
        <v>2.00976988035475</v>
      </c>
      <c r="M38" s="8">
        <f t="shared" si="112"/>
        <v>1.9840199069218</v>
      </c>
      <c r="N38" s="8">
        <f t="shared" si="113"/>
        <v>2.28373180299459</v>
      </c>
      <c r="O38" s="8">
        <f t="shared" si="114"/>
        <v>30.3506384341352</v>
      </c>
      <c r="P38" s="9">
        <f t="shared" ref="P38:T38" si="169">Z38*8.6</f>
        <v>3018.256</v>
      </c>
      <c r="Q38" s="9">
        <f t="shared" ref="Q38:U38" si="170">P38/7142.4*100</f>
        <v>42.2582885304659</v>
      </c>
      <c r="R38" s="9">
        <f t="shared" si="169"/>
        <v>3057.429</v>
      </c>
      <c r="S38" s="9">
        <f t="shared" si="170"/>
        <v>42.8067456317204</v>
      </c>
      <c r="T38" s="9">
        <f t="shared" si="169"/>
        <v>2656.1788</v>
      </c>
      <c r="U38" s="9">
        <f t="shared" si="170"/>
        <v>37.1888832885305</v>
      </c>
      <c r="V38" s="9">
        <f t="shared" si="117"/>
        <v>199.864</v>
      </c>
      <c r="W38" s="9">
        <f t="shared" si="118"/>
        <v>2.79827508960573</v>
      </c>
      <c r="X38" s="2"/>
      <c r="Y38" s="3">
        <v>11</v>
      </c>
      <c r="Z38" s="3">
        <v>350.96</v>
      </c>
      <c r="AA38" s="9">
        <f t="shared" si="119"/>
        <v>46.8696581196581</v>
      </c>
      <c r="AB38" s="3">
        <v>355.515</v>
      </c>
      <c r="AC38" s="9">
        <f t="shared" ref="AC38:AG38" si="171">AB38/748.8*100</f>
        <v>47.4779647435897</v>
      </c>
      <c r="AD38" s="3">
        <v>308.858</v>
      </c>
      <c r="AE38" s="9">
        <f t="shared" si="171"/>
        <v>41.247061965812</v>
      </c>
      <c r="AF38" s="3">
        <v>23.24</v>
      </c>
      <c r="AG38" s="9">
        <f t="shared" si="171"/>
        <v>3.10363247863248</v>
      </c>
      <c r="AH38" s="9">
        <f t="shared" si="121"/>
        <v>638.526315789474</v>
      </c>
      <c r="AI38" s="9">
        <f t="shared" si="122"/>
        <v>85.2732793522267</v>
      </c>
      <c r="AJ38" s="8">
        <f t="shared" si="123"/>
        <v>1.81937062853167</v>
      </c>
      <c r="AK38" s="8">
        <f t="shared" si="124"/>
        <v>1.79606012626605</v>
      </c>
      <c r="AL38" s="8">
        <f t="shared" si="125"/>
        <v>2.06737826376352</v>
      </c>
      <c r="AM38" s="8">
        <f t="shared" si="126"/>
        <v>27.4753147930066</v>
      </c>
      <c r="AN38" s="2"/>
      <c r="AO38" s="3">
        <v>11</v>
      </c>
      <c r="AP38" s="9">
        <v>1127.15</v>
      </c>
      <c r="AQ38" s="9">
        <f t="shared" ref="AQ38:AU38" si="172">AP38/2039.76*100</f>
        <v>55.2589520335726</v>
      </c>
      <c r="AR38" s="9">
        <v>1174.739</v>
      </c>
      <c r="AS38" s="9">
        <f t="shared" si="172"/>
        <v>57.592020629878</v>
      </c>
      <c r="AT38" s="9">
        <v>329.51</v>
      </c>
      <c r="AU38" s="9">
        <f t="shared" si="172"/>
        <v>16.1543514923324</v>
      </c>
      <c r="AV38" s="9">
        <f t="shared" si="128"/>
        <v>1733.14285714286</v>
      </c>
      <c r="AW38" s="9">
        <f t="shared" si="129"/>
        <v>84.967979426151</v>
      </c>
      <c r="AX38" s="8">
        <f t="shared" si="130"/>
        <v>1.53763284136349</v>
      </c>
      <c r="AY38" s="8">
        <f t="shared" si="131"/>
        <v>1.47534291203651</v>
      </c>
      <c r="AZ38" s="8">
        <f t="shared" si="132"/>
        <v>5.25975799563855</v>
      </c>
    </row>
    <row r="39" s="1" customFormat="1" ht="20.4" spans="1:52">
      <c r="A39" s="2"/>
      <c r="B39" s="3">
        <v>12</v>
      </c>
      <c r="C39" s="3">
        <v>8064</v>
      </c>
      <c r="D39" s="3">
        <v>62424</v>
      </c>
      <c r="E39" s="3">
        <v>1920</v>
      </c>
      <c r="F39" s="3">
        <v>5482</v>
      </c>
      <c r="G39" s="3">
        <v>76.7</v>
      </c>
      <c r="H39" s="3">
        <v>6071</v>
      </c>
      <c r="I39" s="3">
        <v>85</v>
      </c>
      <c r="J39" s="6">
        <v>8.3</v>
      </c>
      <c r="K39" s="8">
        <f t="shared" si="110"/>
        <v>1.10744253921926</v>
      </c>
      <c r="L39" s="8">
        <f t="shared" si="111"/>
        <v>1.9894885792017</v>
      </c>
      <c r="M39" s="8">
        <f t="shared" si="112"/>
        <v>2.00001199150659</v>
      </c>
      <c r="N39" s="8">
        <f t="shared" si="113"/>
        <v>2.25251113622064</v>
      </c>
      <c r="O39" s="8">
        <f t="shared" si="114"/>
        <v>13.4411696983652</v>
      </c>
      <c r="P39" s="9">
        <f t="shared" ref="P39:T39" si="173">Z39*8.6</f>
        <v>3051.538</v>
      </c>
      <c r="Q39" s="9">
        <f t="shared" ref="Q39:U39" si="174">P39/7142.4*100</f>
        <v>42.7242663530466</v>
      </c>
      <c r="R39" s="9">
        <f t="shared" si="173"/>
        <v>3035.4818</v>
      </c>
      <c r="S39" s="9">
        <f t="shared" si="174"/>
        <v>42.4994651657706</v>
      </c>
      <c r="T39" s="9">
        <f t="shared" si="173"/>
        <v>2695.2142</v>
      </c>
      <c r="U39" s="9">
        <f t="shared" si="174"/>
        <v>37.7354138664875</v>
      </c>
      <c r="V39" s="9">
        <f t="shared" si="117"/>
        <v>451.672</v>
      </c>
      <c r="W39" s="9">
        <f t="shared" si="118"/>
        <v>6.32381272401434</v>
      </c>
      <c r="X39" s="2"/>
      <c r="Y39" s="3">
        <v>12</v>
      </c>
      <c r="Z39" s="3">
        <v>354.83</v>
      </c>
      <c r="AA39" s="9">
        <f t="shared" si="119"/>
        <v>47.386485042735</v>
      </c>
      <c r="AB39" s="3">
        <v>352.963</v>
      </c>
      <c r="AC39" s="9">
        <f t="shared" ref="AC39:AG39" si="175">AB39/748.8*100</f>
        <v>47.1371527777778</v>
      </c>
      <c r="AD39" s="3">
        <v>313.397</v>
      </c>
      <c r="AE39" s="9">
        <f t="shared" si="175"/>
        <v>41.8532318376068</v>
      </c>
      <c r="AF39" s="3">
        <v>52.52</v>
      </c>
      <c r="AG39" s="9">
        <f t="shared" si="175"/>
        <v>7.01388888888889</v>
      </c>
      <c r="AH39" s="9">
        <f t="shared" si="121"/>
        <v>639.052631578947</v>
      </c>
      <c r="AI39" s="9">
        <f t="shared" si="122"/>
        <v>85.343567251462</v>
      </c>
      <c r="AJ39" s="8">
        <f t="shared" si="123"/>
        <v>1.80101071380365</v>
      </c>
      <c r="AK39" s="8">
        <f t="shared" si="124"/>
        <v>1.81053717125859</v>
      </c>
      <c r="AL39" s="8">
        <f t="shared" si="125"/>
        <v>2.03911534436816</v>
      </c>
      <c r="AM39" s="8">
        <f t="shared" si="126"/>
        <v>12.1677957269411</v>
      </c>
      <c r="AN39" s="2"/>
      <c r="AO39" s="3">
        <v>12</v>
      </c>
      <c r="AP39" s="9">
        <v>1155.15</v>
      </c>
      <c r="AQ39" s="9">
        <f t="shared" ref="AQ39:AU39" si="176">AP39/2039.76*100</f>
        <v>56.6316625485351</v>
      </c>
      <c r="AR39" s="9">
        <v>1189.767</v>
      </c>
      <c r="AS39" s="9">
        <f t="shared" si="176"/>
        <v>58.3287739734086</v>
      </c>
      <c r="AT39" s="9">
        <v>316.17</v>
      </c>
      <c r="AU39" s="9">
        <f t="shared" si="176"/>
        <v>15.5003529827039</v>
      </c>
      <c r="AV39" s="9">
        <f t="shared" si="128"/>
        <v>1734.57142857143</v>
      </c>
      <c r="AW39" s="9">
        <f t="shared" si="129"/>
        <v>85.0380156769144</v>
      </c>
      <c r="AX39" s="8">
        <f t="shared" si="130"/>
        <v>1.50159843186723</v>
      </c>
      <c r="AY39" s="8">
        <f t="shared" si="131"/>
        <v>1.45790850525475</v>
      </c>
      <c r="AZ39" s="8">
        <f t="shared" si="132"/>
        <v>5.48619865443093</v>
      </c>
    </row>
    <row r="40" s="1" customFormat="1" ht="20.4" spans="2:53">
      <c r="B40" s="3"/>
      <c r="C40" s="4"/>
      <c r="D40" s="4"/>
      <c r="E40" s="4"/>
      <c r="F40" s="4"/>
      <c r="G40" s="4"/>
      <c r="H40" s="4"/>
      <c r="I40" s="4"/>
      <c r="J40" s="4"/>
      <c r="K40" s="4">
        <f t="shared" ref="K40:O40" si="177">MAX(K28:K39)</f>
        <v>1.14240837696335</v>
      </c>
      <c r="L40" s="4">
        <f t="shared" si="177"/>
        <v>2.03908173219125</v>
      </c>
      <c r="M40" s="4">
        <f t="shared" si="177"/>
        <v>2.01163366295927</v>
      </c>
      <c r="N40" s="4">
        <f t="shared" si="177"/>
        <v>2.29707274634771</v>
      </c>
      <c r="O40" s="10">
        <f t="shared" si="177"/>
        <v>33.0648304534234</v>
      </c>
      <c r="P40" s="11"/>
      <c r="Q40" s="11"/>
      <c r="R40" s="11"/>
      <c r="S40" s="11"/>
      <c r="T40" s="11"/>
      <c r="U40" s="11"/>
      <c r="V40" s="11"/>
      <c r="W40" s="3"/>
      <c r="X40" s="4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>
        <f t="shared" ref="AJ40:AM40" si="178">MAX(AJ28:AJ39)</f>
        <v>1.84590556808892</v>
      </c>
      <c r="AK40" s="4">
        <f t="shared" si="178"/>
        <v>1.82105784225786</v>
      </c>
      <c r="AL40" s="4">
        <f t="shared" si="178"/>
        <v>2.07945532827267</v>
      </c>
      <c r="AM40" s="4">
        <f t="shared" si="178"/>
        <v>29.9323728315201</v>
      </c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>
        <f t="shared" ref="AX40:AZ40" si="179">MAX(AX28:AX39)</f>
        <v>1.57254078101829</v>
      </c>
      <c r="AY40" s="4">
        <f t="shared" si="179"/>
        <v>1.48697436746379</v>
      </c>
      <c r="AZ40" s="4">
        <f t="shared" si="179"/>
        <v>5.50735469579429</v>
      </c>
      <c r="BA40" s="4"/>
    </row>
    <row r="41" s="1" customFormat="1" ht="20.4" spans="2:52">
      <c r="B41" s="3" t="s">
        <v>4</v>
      </c>
      <c r="C41" s="3" t="s">
        <v>5</v>
      </c>
      <c r="D41" s="3" t="s">
        <v>6</v>
      </c>
      <c r="E41" s="3" t="s">
        <v>7</v>
      </c>
      <c r="F41" s="3" t="s">
        <v>8</v>
      </c>
      <c r="G41" s="3" t="s">
        <v>9</v>
      </c>
      <c r="H41" s="3" t="s">
        <v>10</v>
      </c>
      <c r="I41" s="3" t="s">
        <v>9</v>
      </c>
      <c r="J41" s="6" t="s">
        <v>11</v>
      </c>
      <c r="K41" s="7" t="s">
        <v>12</v>
      </c>
      <c r="L41" s="7" t="s">
        <v>13</v>
      </c>
      <c r="M41" s="7" t="s">
        <v>14</v>
      </c>
      <c r="N41" s="7" t="s">
        <v>15</v>
      </c>
      <c r="O41" s="7" t="s">
        <v>16</v>
      </c>
      <c r="P41" s="3" t="s">
        <v>17</v>
      </c>
      <c r="Q41" s="3" t="s">
        <v>9</v>
      </c>
      <c r="R41" s="3" t="s">
        <v>18</v>
      </c>
      <c r="S41" s="3" t="s">
        <v>9</v>
      </c>
      <c r="T41" s="3" t="s">
        <v>19</v>
      </c>
      <c r="U41" s="3" t="s">
        <v>9</v>
      </c>
      <c r="V41" s="3" t="s">
        <v>20</v>
      </c>
      <c r="W41" s="3" t="s">
        <v>9</v>
      </c>
      <c r="X41" s="12"/>
      <c r="Y41" s="3" t="s">
        <v>4</v>
      </c>
      <c r="Z41" s="3" t="s">
        <v>17</v>
      </c>
      <c r="AA41" s="3" t="s">
        <v>9</v>
      </c>
      <c r="AB41" s="3" t="s">
        <v>18</v>
      </c>
      <c r="AC41" s="3" t="s">
        <v>9</v>
      </c>
      <c r="AD41" s="3" t="s">
        <v>19</v>
      </c>
      <c r="AE41" s="3" t="s">
        <v>9</v>
      </c>
      <c r="AF41" s="3" t="s">
        <v>20</v>
      </c>
      <c r="AG41" s="3" t="s">
        <v>9</v>
      </c>
      <c r="AH41" s="3" t="s">
        <v>24</v>
      </c>
      <c r="AI41" s="3" t="s">
        <v>9</v>
      </c>
      <c r="AJ41" s="7" t="s">
        <v>13</v>
      </c>
      <c r="AK41" s="7" t="s">
        <v>14</v>
      </c>
      <c r="AL41" s="7" t="s">
        <v>15</v>
      </c>
      <c r="AM41" s="7" t="s">
        <v>16</v>
      </c>
      <c r="AN41" s="2" t="s">
        <v>22</v>
      </c>
      <c r="AO41" s="3" t="s">
        <v>4</v>
      </c>
      <c r="AP41" s="3" t="s">
        <v>17</v>
      </c>
      <c r="AQ41" s="3" t="s">
        <v>9</v>
      </c>
      <c r="AR41" s="3" t="s">
        <v>18</v>
      </c>
      <c r="AS41" s="3" t="s">
        <v>9</v>
      </c>
      <c r="AT41" s="3" t="s">
        <v>20</v>
      </c>
      <c r="AU41" s="3" t="s">
        <v>9</v>
      </c>
      <c r="AV41" s="9" t="s">
        <v>23</v>
      </c>
      <c r="AW41" s="9" t="s">
        <v>9</v>
      </c>
      <c r="AX41" s="7" t="s">
        <v>13</v>
      </c>
      <c r="AY41" s="7" t="s">
        <v>14</v>
      </c>
      <c r="AZ41" s="7" t="s">
        <v>16</v>
      </c>
    </row>
    <row r="42" s="1" customFormat="1" ht="20.4" spans="1:52">
      <c r="A42" s="2" t="s">
        <v>3</v>
      </c>
      <c r="B42" s="3">
        <v>1</v>
      </c>
      <c r="C42" s="3">
        <v>13440</v>
      </c>
      <c r="D42" s="3">
        <v>28288</v>
      </c>
      <c r="E42" s="3">
        <v>1920</v>
      </c>
      <c r="F42" s="3">
        <v>5532</v>
      </c>
      <c r="G42" s="3">
        <v>77.4</v>
      </c>
      <c r="H42" s="3">
        <v>5972</v>
      </c>
      <c r="I42" s="3">
        <v>83.6</v>
      </c>
      <c r="J42" s="6">
        <v>6.1</v>
      </c>
      <c r="K42" s="8">
        <f t="shared" ref="K42:K54" si="180">H42/F42</f>
        <v>1.07953723788865</v>
      </c>
      <c r="L42" s="8">
        <f t="shared" ref="L42:L54" si="181">H42/P42</f>
        <v>1.98535781985637</v>
      </c>
      <c r="M42" s="8">
        <f t="shared" ref="M42:M54" si="182">H42/R42</f>
        <v>1.97106664277975</v>
      </c>
      <c r="N42" s="8">
        <f t="shared" ref="N42:N54" si="183">H42/T42</f>
        <v>2.25201750147935</v>
      </c>
      <c r="O42" s="8">
        <f t="shared" ref="O42:O54" si="184">H42/V42</f>
        <v>21.0813176882563</v>
      </c>
      <c r="P42" s="9">
        <f t="shared" ref="P42:T42" si="185">Z42*8.6</f>
        <v>3008.022</v>
      </c>
      <c r="Q42" s="9">
        <f t="shared" ref="Q42:U42" si="186">P42/7142.4*100</f>
        <v>42.1150033602151</v>
      </c>
      <c r="R42" s="9">
        <f t="shared" si="185"/>
        <v>3029.8316</v>
      </c>
      <c r="S42" s="9">
        <f t="shared" si="186"/>
        <v>42.4203573028674</v>
      </c>
      <c r="T42" s="9">
        <f t="shared" si="185"/>
        <v>2651.8444</v>
      </c>
      <c r="U42" s="9">
        <f t="shared" si="186"/>
        <v>37.1281978046595</v>
      </c>
      <c r="V42" s="9">
        <f t="shared" ref="V42:V54" si="187">AF42*8.6</f>
        <v>283.284</v>
      </c>
      <c r="W42" s="9">
        <f t="shared" ref="W42:W54" si="188">V42/7142.4*100</f>
        <v>3.96622983870968</v>
      </c>
      <c r="X42" s="2" t="s">
        <v>21</v>
      </c>
      <c r="Y42" s="3">
        <v>1</v>
      </c>
      <c r="Z42" s="3">
        <v>349.77</v>
      </c>
      <c r="AA42" s="9">
        <f t="shared" ref="AA42:AA54" si="189">(Z42/748.8)*100</f>
        <v>46.7107371794872</v>
      </c>
      <c r="AB42" s="3">
        <v>352.306</v>
      </c>
      <c r="AC42" s="9">
        <f t="shared" ref="AC42:AG42" si="190">AB42/748.8*100</f>
        <v>47.0494123931624</v>
      </c>
      <c r="AD42" s="3">
        <v>308.354</v>
      </c>
      <c r="AE42" s="9">
        <f t="shared" si="190"/>
        <v>41.1797542735043</v>
      </c>
      <c r="AF42" s="3">
        <v>32.94</v>
      </c>
      <c r="AG42" s="9">
        <f t="shared" si="190"/>
        <v>4.39903846153846</v>
      </c>
      <c r="AH42" s="9">
        <f t="shared" ref="AH42:AH54" si="191">H42/9.5</f>
        <v>628.631578947368</v>
      </c>
      <c r="AI42" s="9">
        <f t="shared" ref="AI42:AI54" si="192">AH42/748.8*100</f>
        <v>83.9518668466037</v>
      </c>
      <c r="AJ42" s="8">
        <f t="shared" ref="AJ42:AJ54" si="193">AH42/Z42</f>
        <v>1.79727128955419</v>
      </c>
      <c r="AK42" s="8">
        <f t="shared" ref="AK42:AK54" si="194">AH42/AB42</f>
        <v>1.78433401346377</v>
      </c>
      <c r="AL42" s="8">
        <f t="shared" ref="AL42:AL54" si="195">AH42/AD42</f>
        <v>2.03866847502341</v>
      </c>
      <c r="AM42" s="8">
        <f t="shared" ref="AM42:AM54" si="196">AH42/AF42</f>
        <v>19.0841402230531</v>
      </c>
      <c r="AN42" s="2"/>
      <c r="AO42" s="3">
        <v>1</v>
      </c>
      <c r="AP42" s="9">
        <v>1131.38</v>
      </c>
      <c r="AQ42" s="9">
        <f t="shared" ref="AQ42:AU42" si="197">AP42/2039.76*100</f>
        <v>55.466329372083</v>
      </c>
      <c r="AR42" s="9">
        <v>1185.782</v>
      </c>
      <c r="AS42" s="9">
        <f t="shared" si="197"/>
        <v>58.1334078519041</v>
      </c>
      <c r="AT42" s="9">
        <v>345.55</v>
      </c>
      <c r="AU42" s="9">
        <f t="shared" si="197"/>
        <v>16.9407185159038</v>
      </c>
      <c r="AV42" s="9">
        <f t="shared" ref="AV42:AV54" si="198">H42/3.5</f>
        <v>1706.28571428571</v>
      </c>
      <c r="AW42" s="9">
        <f t="shared" ref="AW42:AW54" si="199">AV42/2039.76*100</f>
        <v>83.6512979117991</v>
      </c>
      <c r="AX42" s="8">
        <f t="shared" ref="AX42:AX54" si="200">AV42/AP42</f>
        <v>1.50814555170298</v>
      </c>
      <c r="AY42" s="8">
        <f t="shared" ref="AY42:AY54" si="201">AV42/AR42</f>
        <v>1.43895396817097</v>
      </c>
      <c r="AZ42" s="8">
        <f t="shared" ref="AZ42:AZ54" si="202">AV42/AT42</f>
        <v>4.93788370506646</v>
      </c>
    </row>
    <row r="43" s="1" customFormat="1" ht="20.4" spans="1:52">
      <c r="A43" s="2"/>
      <c r="B43" s="3">
        <v>2</v>
      </c>
      <c r="C43" s="3">
        <v>13440</v>
      </c>
      <c r="D43" s="3">
        <v>25216</v>
      </c>
      <c r="E43" s="3">
        <v>1920</v>
      </c>
      <c r="F43" s="3">
        <v>5520</v>
      </c>
      <c r="G43" s="3">
        <v>77.2</v>
      </c>
      <c r="H43" s="3">
        <v>5964</v>
      </c>
      <c r="I43" s="3">
        <v>83.5</v>
      </c>
      <c r="J43" s="6">
        <v>6.2</v>
      </c>
      <c r="K43" s="8">
        <f t="shared" si="180"/>
        <v>1.0804347826087</v>
      </c>
      <c r="L43" s="8">
        <f t="shared" si="181"/>
        <v>1.96266590845368</v>
      </c>
      <c r="M43" s="8">
        <f t="shared" si="182"/>
        <v>1.96573685072345</v>
      </c>
      <c r="N43" s="8">
        <f t="shared" si="183"/>
        <v>2.25324629546134</v>
      </c>
      <c r="O43" s="8">
        <f t="shared" si="184"/>
        <v>20.499212890719</v>
      </c>
      <c r="P43" s="9">
        <f t="shared" ref="P43:T43" si="203">Z43*8.6</f>
        <v>3038.724</v>
      </c>
      <c r="Q43" s="9">
        <f t="shared" ref="Q43:U43" si="204">P43/7142.4*100</f>
        <v>42.5448588709677</v>
      </c>
      <c r="R43" s="9">
        <f t="shared" si="203"/>
        <v>3033.9768</v>
      </c>
      <c r="S43" s="9">
        <f t="shared" si="204"/>
        <v>42.4783938172043</v>
      </c>
      <c r="T43" s="9">
        <f t="shared" si="203"/>
        <v>2646.8478</v>
      </c>
      <c r="U43" s="9">
        <f t="shared" si="204"/>
        <v>37.0582409274194</v>
      </c>
      <c r="V43" s="9">
        <f t="shared" si="187"/>
        <v>290.938</v>
      </c>
      <c r="W43" s="9">
        <f t="shared" si="188"/>
        <v>4.07339269713262</v>
      </c>
      <c r="X43" s="2"/>
      <c r="Y43" s="3">
        <v>2</v>
      </c>
      <c r="Z43" s="3">
        <v>353.34</v>
      </c>
      <c r="AA43" s="9">
        <f t="shared" si="189"/>
        <v>47.1875</v>
      </c>
      <c r="AB43" s="3">
        <v>352.788</v>
      </c>
      <c r="AC43" s="9">
        <f t="shared" ref="AC43:AG43" si="205">AB43/748.8*100</f>
        <v>47.1137820512821</v>
      </c>
      <c r="AD43" s="3">
        <v>307.773</v>
      </c>
      <c r="AE43" s="9">
        <f t="shared" si="205"/>
        <v>41.1021634615385</v>
      </c>
      <c r="AF43" s="3">
        <v>33.83</v>
      </c>
      <c r="AG43" s="9">
        <f t="shared" si="205"/>
        <v>4.5178952991453</v>
      </c>
      <c r="AH43" s="9">
        <f t="shared" si="191"/>
        <v>627.789473684211</v>
      </c>
      <c r="AI43" s="9">
        <f t="shared" si="192"/>
        <v>83.8394062078273</v>
      </c>
      <c r="AJ43" s="8">
        <f t="shared" si="193"/>
        <v>1.77672913817912</v>
      </c>
      <c r="AK43" s="8">
        <f t="shared" si="194"/>
        <v>1.77950914907596</v>
      </c>
      <c r="AL43" s="8">
        <f t="shared" si="195"/>
        <v>2.03978085694395</v>
      </c>
      <c r="AM43" s="8">
        <f t="shared" si="196"/>
        <v>18.5571821958088</v>
      </c>
      <c r="AN43" s="2"/>
      <c r="AO43" s="3">
        <v>2</v>
      </c>
      <c r="AP43" s="9">
        <v>1131.6</v>
      </c>
      <c r="AQ43" s="9">
        <f t="shared" ref="AQ43:AU43" si="206">AP43/2039.76*100</f>
        <v>55.4771149547005</v>
      </c>
      <c r="AR43" s="9">
        <v>1169.351</v>
      </c>
      <c r="AS43" s="9">
        <f t="shared" si="206"/>
        <v>57.3278719064988</v>
      </c>
      <c r="AT43" s="9">
        <v>347.63</v>
      </c>
      <c r="AU43" s="9">
        <f t="shared" si="206"/>
        <v>17.0426912970153</v>
      </c>
      <c r="AV43" s="9">
        <f t="shared" si="198"/>
        <v>1704</v>
      </c>
      <c r="AW43" s="9">
        <f t="shared" si="199"/>
        <v>83.5392399105777</v>
      </c>
      <c r="AX43" s="8">
        <f t="shared" si="200"/>
        <v>1.50583244962884</v>
      </c>
      <c r="AY43" s="8">
        <f t="shared" si="201"/>
        <v>1.45721857680029</v>
      </c>
      <c r="AZ43" s="8">
        <f t="shared" si="202"/>
        <v>4.90176336909933</v>
      </c>
    </row>
    <row r="44" s="1" customFormat="1" ht="20.4" spans="1:52">
      <c r="A44" s="2"/>
      <c r="B44" s="3">
        <v>3</v>
      </c>
      <c r="C44" s="3">
        <v>13440</v>
      </c>
      <c r="D44" s="3">
        <v>22144</v>
      </c>
      <c r="E44" s="3">
        <v>1920</v>
      </c>
      <c r="F44" s="3">
        <v>5420</v>
      </c>
      <c r="G44" s="3">
        <v>75.8</v>
      </c>
      <c r="H44" s="3">
        <v>5954</v>
      </c>
      <c r="I44" s="3">
        <v>83.3</v>
      </c>
      <c r="J44" s="6">
        <v>7.5</v>
      </c>
      <c r="K44" s="8">
        <f t="shared" si="180"/>
        <v>1.09852398523985</v>
      </c>
      <c r="L44" s="8">
        <f t="shared" si="181"/>
        <v>1.9690716194407</v>
      </c>
      <c r="M44" s="8">
        <f t="shared" si="182"/>
        <v>1.95982432548173</v>
      </c>
      <c r="N44" s="8">
        <f t="shared" si="183"/>
        <v>2.17431427116321</v>
      </c>
      <c r="O44" s="8">
        <f t="shared" si="184"/>
        <v>20.1726568005638</v>
      </c>
      <c r="P44" s="9">
        <f t="shared" ref="P44:T44" si="207">Z44*8.6</f>
        <v>3023.76</v>
      </c>
      <c r="Q44" s="9">
        <f t="shared" ref="Q44:U44" si="208">P44/7142.4*100</f>
        <v>42.3353494623656</v>
      </c>
      <c r="R44" s="9">
        <f t="shared" si="207"/>
        <v>3038.0274</v>
      </c>
      <c r="S44" s="9">
        <f t="shared" si="208"/>
        <v>42.5351058467742</v>
      </c>
      <c r="T44" s="9">
        <f t="shared" si="207"/>
        <v>2738.3346</v>
      </c>
      <c r="U44" s="9">
        <f t="shared" si="208"/>
        <v>38.3391381048387</v>
      </c>
      <c r="V44" s="9">
        <f t="shared" si="187"/>
        <v>295.152</v>
      </c>
      <c r="W44" s="9">
        <f t="shared" si="188"/>
        <v>4.13239247311828</v>
      </c>
      <c r="X44" s="2"/>
      <c r="Y44" s="3">
        <v>3</v>
      </c>
      <c r="Z44" s="3">
        <v>351.6</v>
      </c>
      <c r="AA44" s="9">
        <f t="shared" si="189"/>
        <v>46.9551282051282</v>
      </c>
      <c r="AB44" s="3">
        <v>353.259</v>
      </c>
      <c r="AC44" s="9">
        <f t="shared" ref="AC44:AG44" si="209">AB44/748.8*100</f>
        <v>47.1766826923077</v>
      </c>
      <c r="AD44" s="3">
        <v>318.411</v>
      </c>
      <c r="AE44" s="9">
        <f t="shared" si="209"/>
        <v>42.5228365384615</v>
      </c>
      <c r="AF44" s="3">
        <v>34.32</v>
      </c>
      <c r="AG44" s="9">
        <f t="shared" si="209"/>
        <v>4.58333333333333</v>
      </c>
      <c r="AH44" s="9">
        <f t="shared" si="191"/>
        <v>626.736842105263</v>
      </c>
      <c r="AI44" s="9">
        <f t="shared" si="192"/>
        <v>83.6988304093567</v>
      </c>
      <c r="AJ44" s="8">
        <f t="shared" si="193"/>
        <v>1.78252799233579</v>
      </c>
      <c r="AK44" s="8">
        <f t="shared" si="194"/>
        <v>1.77415675780451</v>
      </c>
      <c r="AL44" s="8">
        <f t="shared" si="195"/>
        <v>1.9683266033688</v>
      </c>
      <c r="AM44" s="8">
        <f t="shared" si="196"/>
        <v>18.2615629984051</v>
      </c>
      <c r="AN44" s="2"/>
      <c r="AO44" s="3">
        <v>3</v>
      </c>
      <c r="AP44" s="9">
        <v>1131.33</v>
      </c>
      <c r="AQ44" s="9">
        <f t="shared" ref="AQ44:AU44" si="210">AP44/2039.76*100</f>
        <v>55.4638781033063</v>
      </c>
      <c r="AR44" s="9">
        <v>1180.442</v>
      </c>
      <c r="AS44" s="9">
        <f t="shared" si="210"/>
        <v>57.8716123465506</v>
      </c>
      <c r="AT44" s="9">
        <v>353.28</v>
      </c>
      <c r="AU44" s="9">
        <f t="shared" si="210"/>
        <v>17.3196846687846</v>
      </c>
      <c r="AV44" s="9">
        <f t="shared" si="198"/>
        <v>1701.14285714286</v>
      </c>
      <c r="AW44" s="9">
        <f t="shared" si="199"/>
        <v>83.3991674090509</v>
      </c>
      <c r="AX44" s="8">
        <f t="shared" si="200"/>
        <v>1.50366635477081</v>
      </c>
      <c r="AY44" s="8">
        <f t="shared" si="201"/>
        <v>1.44110668473577</v>
      </c>
      <c r="AZ44" s="8">
        <f t="shared" si="202"/>
        <v>4.81528209109731</v>
      </c>
    </row>
    <row r="45" s="1" customFormat="1" ht="20.4" spans="1:52">
      <c r="A45" s="2"/>
      <c r="B45" s="3">
        <v>4</v>
      </c>
      <c r="C45" s="3">
        <v>13440</v>
      </c>
      <c r="D45" s="3">
        <v>17152</v>
      </c>
      <c r="E45" s="3">
        <v>1920</v>
      </c>
      <c r="F45" s="3">
        <v>5434</v>
      </c>
      <c r="G45" s="3">
        <v>76</v>
      </c>
      <c r="H45" s="3">
        <v>5885</v>
      </c>
      <c r="I45" s="3">
        <v>82.3</v>
      </c>
      <c r="J45" s="6">
        <v>6.3</v>
      </c>
      <c r="K45" s="8">
        <f t="shared" si="180"/>
        <v>1.082995951417</v>
      </c>
      <c r="L45" s="8">
        <f t="shared" si="181"/>
        <v>1.9501904459557</v>
      </c>
      <c r="M45" s="8">
        <f t="shared" si="182"/>
        <v>1.94114552324344</v>
      </c>
      <c r="N45" s="8">
        <f t="shared" si="183"/>
        <v>2.22078019310108</v>
      </c>
      <c r="O45" s="8">
        <f t="shared" si="184"/>
        <v>23.7275424958875</v>
      </c>
      <c r="P45" s="9">
        <f t="shared" ref="P45:T45" si="211">Z45*8.6</f>
        <v>3017.654</v>
      </c>
      <c r="Q45" s="9">
        <f t="shared" ref="Q45:U45" si="212">P45/7142.4*100</f>
        <v>42.2498599910394</v>
      </c>
      <c r="R45" s="9">
        <f t="shared" si="211"/>
        <v>3031.715</v>
      </c>
      <c r="S45" s="9">
        <f t="shared" si="212"/>
        <v>42.4467265905018</v>
      </c>
      <c r="T45" s="9">
        <f t="shared" si="211"/>
        <v>2649.9696</v>
      </c>
      <c r="U45" s="9">
        <f t="shared" si="212"/>
        <v>37.1019489247312</v>
      </c>
      <c r="V45" s="9">
        <f t="shared" si="187"/>
        <v>248.024</v>
      </c>
      <c r="W45" s="9">
        <f t="shared" si="188"/>
        <v>3.4725582437276</v>
      </c>
      <c r="X45" s="2"/>
      <c r="Y45" s="3">
        <v>4</v>
      </c>
      <c r="Z45" s="3">
        <v>350.89</v>
      </c>
      <c r="AA45" s="9">
        <f t="shared" si="189"/>
        <v>46.8603098290598</v>
      </c>
      <c r="AB45" s="3">
        <v>352.525</v>
      </c>
      <c r="AC45" s="9">
        <f t="shared" ref="AC45:AG45" si="213">AB45/748.8*100</f>
        <v>47.0786591880342</v>
      </c>
      <c r="AD45" s="3">
        <v>308.136</v>
      </c>
      <c r="AE45" s="9">
        <f t="shared" si="213"/>
        <v>41.150641025641</v>
      </c>
      <c r="AF45" s="3">
        <v>28.84</v>
      </c>
      <c r="AG45" s="9">
        <f t="shared" si="213"/>
        <v>3.85149572649573</v>
      </c>
      <c r="AH45" s="9">
        <f t="shared" si="191"/>
        <v>619.473684210526</v>
      </c>
      <c r="AI45" s="9">
        <f t="shared" si="192"/>
        <v>82.72885739991</v>
      </c>
      <c r="AJ45" s="8">
        <f t="shared" si="193"/>
        <v>1.765435561602</v>
      </c>
      <c r="AK45" s="8">
        <f t="shared" si="194"/>
        <v>1.75724752630459</v>
      </c>
      <c r="AL45" s="8">
        <f t="shared" si="195"/>
        <v>2.01039049059677</v>
      </c>
      <c r="AM45" s="8">
        <f t="shared" si="196"/>
        <v>21.4796700489087</v>
      </c>
      <c r="AN45" s="2"/>
      <c r="AO45" s="3">
        <v>4</v>
      </c>
      <c r="AP45" s="9">
        <v>1125.03</v>
      </c>
      <c r="AQ45" s="9">
        <f t="shared" ref="AQ45:AU45" si="214">AP45/2039.76*100</f>
        <v>55.1550182374397</v>
      </c>
      <c r="AR45" s="9">
        <v>1170.165</v>
      </c>
      <c r="AS45" s="9">
        <f t="shared" si="214"/>
        <v>57.3677785621838</v>
      </c>
      <c r="AT45" s="9">
        <v>353.76</v>
      </c>
      <c r="AU45" s="9">
        <f t="shared" si="214"/>
        <v>17.3432168490411</v>
      </c>
      <c r="AV45" s="9">
        <f t="shared" si="198"/>
        <v>1681.42857142857</v>
      </c>
      <c r="AW45" s="9">
        <f t="shared" si="199"/>
        <v>82.4326671485161</v>
      </c>
      <c r="AX45" s="8">
        <f t="shared" si="200"/>
        <v>1.49456331958132</v>
      </c>
      <c r="AY45" s="8">
        <f t="shared" si="201"/>
        <v>1.43691579514733</v>
      </c>
      <c r="AZ45" s="8">
        <f t="shared" si="202"/>
        <v>4.75302061122957</v>
      </c>
    </row>
    <row r="46" s="1" customFormat="1" ht="20.4" spans="1:52">
      <c r="A46" s="2"/>
      <c r="B46" s="3">
        <v>5</v>
      </c>
      <c r="C46" s="3">
        <v>13440</v>
      </c>
      <c r="D46" s="3">
        <v>14080</v>
      </c>
      <c r="E46" s="3">
        <v>1920</v>
      </c>
      <c r="F46" s="3">
        <v>5188</v>
      </c>
      <c r="G46" s="3">
        <v>72.6</v>
      </c>
      <c r="H46" s="3">
        <v>5824</v>
      </c>
      <c r="I46" s="3">
        <v>81.5</v>
      </c>
      <c r="J46" s="6">
        <v>8.9</v>
      </c>
      <c r="K46" s="8">
        <f t="shared" si="180"/>
        <v>1.12259059367772</v>
      </c>
      <c r="L46" s="8">
        <f t="shared" si="181"/>
        <v>1.93041618632759</v>
      </c>
      <c r="M46" s="8">
        <f t="shared" si="182"/>
        <v>1.9226774657051</v>
      </c>
      <c r="N46" s="8">
        <f t="shared" si="183"/>
        <v>2.13348697565546</v>
      </c>
      <c r="O46" s="8">
        <f t="shared" si="184"/>
        <v>22.3944875107666</v>
      </c>
      <c r="P46" s="9">
        <f t="shared" ref="P46:T46" si="215">Z46*8.6</f>
        <v>3016.966</v>
      </c>
      <c r="Q46" s="9">
        <f t="shared" ref="Q46:U46" si="216">P46/7142.4*100</f>
        <v>42.240227374552</v>
      </c>
      <c r="R46" s="9">
        <f t="shared" si="215"/>
        <v>3029.1092</v>
      </c>
      <c r="S46" s="9">
        <f t="shared" si="216"/>
        <v>42.4102430555556</v>
      </c>
      <c r="T46" s="9">
        <f t="shared" si="215"/>
        <v>2729.8034</v>
      </c>
      <c r="U46" s="9">
        <f t="shared" si="216"/>
        <v>38.2196936603943</v>
      </c>
      <c r="V46" s="9">
        <f t="shared" si="187"/>
        <v>260.064</v>
      </c>
      <c r="W46" s="9">
        <f t="shared" si="188"/>
        <v>3.64112903225806</v>
      </c>
      <c r="X46" s="2"/>
      <c r="Y46" s="3">
        <v>5</v>
      </c>
      <c r="Z46" s="3">
        <v>350.81</v>
      </c>
      <c r="AA46" s="9">
        <f t="shared" si="189"/>
        <v>46.8496260683761</v>
      </c>
      <c r="AB46" s="3">
        <v>352.222</v>
      </c>
      <c r="AC46" s="9">
        <f t="shared" ref="AC46:AG46" si="217">AB46/748.8*100</f>
        <v>47.0381944444444</v>
      </c>
      <c r="AD46" s="3">
        <v>317.419</v>
      </c>
      <c r="AE46" s="9">
        <f t="shared" si="217"/>
        <v>42.3903579059829</v>
      </c>
      <c r="AF46" s="3">
        <v>30.24</v>
      </c>
      <c r="AG46" s="9">
        <f t="shared" si="217"/>
        <v>4.03846153846154</v>
      </c>
      <c r="AH46" s="9">
        <f t="shared" si="191"/>
        <v>613.052631578947</v>
      </c>
      <c r="AI46" s="9">
        <f t="shared" si="192"/>
        <v>81.8713450292398</v>
      </c>
      <c r="AJ46" s="8">
        <f t="shared" si="193"/>
        <v>1.74753465288603</v>
      </c>
      <c r="AK46" s="8">
        <f t="shared" si="194"/>
        <v>1.74052907421725</v>
      </c>
      <c r="AL46" s="8">
        <f t="shared" si="195"/>
        <v>1.93136715690916</v>
      </c>
      <c r="AM46" s="8">
        <f t="shared" si="196"/>
        <v>20.2729044834308</v>
      </c>
      <c r="AN46" s="2"/>
      <c r="AO46" s="3">
        <v>5</v>
      </c>
      <c r="AP46" s="9">
        <v>1125.41</v>
      </c>
      <c r="AQ46" s="9">
        <f t="shared" ref="AQ46:AU46" si="218">AP46/2039.76*100</f>
        <v>55.1736478801428</v>
      </c>
      <c r="AR46" s="9">
        <v>1159.36</v>
      </c>
      <c r="AS46" s="9">
        <f t="shared" si="218"/>
        <v>56.8380593795348</v>
      </c>
      <c r="AT46" s="9">
        <v>351.43</v>
      </c>
      <c r="AU46" s="9">
        <f t="shared" si="218"/>
        <v>17.228987724046</v>
      </c>
      <c r="AV46" s="9">
        <f t="shared" si="198"/>
        <v>1664</v>
      </c>
      <c r="AW46" s="9">
        <f t="shared" si="199"/>
        <v>81.5782248892027</v>
      </c>
      <c r="AX46" s="8">
        <f t="shared" si="200"/>
        <v>1.47857225366755</v>
      </c>
      <c r="AY46" s="8">
        <f t="shared" si="201"/>
        <v>1.43527463428098</v>
      </c>
      <c r="AZ46" s="8">
        <f t="shared" si="202"/>
        <v>4.7349401018695</v>
      </c>
    </row>
    <row r="47" s="1" customFormat="1" ht="20.4" spans="1:52">
      <c r="A47" s="2"/>
      <c r="B47" s="3">
        <v>6</v>
      </c>
      <c r="C47" s="3">
        <v>13056</v>
      </c>
      <c r="D47" s="3">
        <v>14080</v>
      </c>
      <c r="E47" s="3">
        <v>1920</v>
      </c>
      <c r="F47" s="3">
        <v>5045</v>
      </c>
      <c r="G47" s="3">
        <v>70.6</v>
      </c>
      <c r="H47" s="3">
        <v>5597</v>
      </c>
      <c r="I47" s="3">
        <v>78.3</v>
      </c>
      <c r="J47" s="6">
        <v>7.7</v>
      </c>
      <c r="K47" s="8">
        <f t="shared" si="180"/>
        <v>1.10941526263627</v>
      </c>
      <c r="L47" s="8">
        <f t="shared" si="181"/>
        <v>1.85586276231428</v>
      </c>
      <c r="M47" s="8">
        <f t="shared" si="182"/>
        <v>1.84790058090176</v>
      </c>
      <c r="N47" s="8">
        <f t="shared" si="183"/>
        <v>2.09069984094694</v>
      </c>
      <c r="O47" s="8">
        <f t="shared" si="184"/>
        <v>20.2998737831682</v>
      </c>
      <c r="P47" s="9">
        <f t="shared" ref="P47:T47" si="219">Z47*8.6</f>
        <v>3015.848</v>
      </c>
      <c r="Q47" s="9">
        <f t="shared" ref="Q47:U47" si="220">P47/7142.4*100</f>
        <v>42.2245743727599</v>
      </c>
      <c r="R47" s="9">
        <f t="shared" si="219"/>
        <v>3028.8426</v>
      </c>
      <c r="S47" s="9">
        <f t="shared" si="220"/>
        <v>42.4065104166667</v>
      </c>
      <c r="T47" s="9">
        <f t="shared" si="219"/>
        <v>2677.094</v>
      </c>
      <c r="U47" s="9">
        <f t="shared" si="220"/>
        <v>37.4817148297491</v>
      </c>
      <c r="V47" s="9">
        <f t="shared" si="187"/>
        <v>275.716</v>
      </c>
      <c r="W47" s="9">
        <f t="shared" si="188"/>
        <v>3.86027105734767</v>
      </c>
      <c r="X47" s="2"/>
      <c r="Y47" s="3">
        <v>6</v>
      </c>
      <c r="Z47" s="3">
        <v>350.68</v>
      </c>
      <c r="AA47" s="9">
        <f t="shared" si="189"/>
        <v>46.832264957265</v>
      </c>
      <c r="AB47" s="3">
        <v>352.191</v>
      </c>
      <c r="AC47" s="9">
        <f t="shared" ref="AC47:AG47" si="221">AB47/748.8*100</f>
        <v>47.0340544871795</v>
      </c>
      <c r="AD47" s="3">
        <v>311.29</v>
      </c>
      <c r="AE47" s="9">
        <f t="shared" si="221"/>
        <v>41.5718482905983</v>
      </c>
      <c r="AF47" s="3">
        <v>32.06</v>
      </c>
      <c r="AG47" s="9">
        <f t="shared" si="221"/>
        <v>4.28151709401709</v>
      </c>
      <c r="AH47" s="9">
        <f t="shared" si="191"/>
        <v>589.157894736842</v>
      </c>
      <c r="AI47" s="9">
        <f t="shared" si="192"/>
        <v>78.6802744039586</v>
      </c>
      <c r="AJ47" s="8">
        <f t="shared" si="193"/>
        <v>1.68004418483188</v>
      </c>
      <c r="AK47" s="8">
        <f t="shared" si="194"/>
        <v>1.67283631534265</v>
      </c>
      <c r="AL47" s="8">
        <f t="shared" si="195"/>
        <v>1.89263354022565</v>
      </c>
      <c r="AM47" s="8">
        <f t="shared" si="196"/>
        <v>18.3767278458154</v>
      </c>
      <c r="AN47" s="2"/>
      <c r="AO47" s="3">
        <v>6</v>
      </c>
      <c r="AP47" s="9">
        <v>1114.79</v>
      </c>
      <c r="AQ47" s="9">
        <f t="shared" ref="AQ47:AU47" si="222">AP47/2039.76*100</f>
        <v>54.6529983919677</v>
      </c>
      <c r="AR47" s="9">
        <v>1159.423</v>
      </c>
      <c r="AS47" s="9">
        <f t="shared" si="222"/>
        <v>56.8411479781935</v>
      </c>
      <c r="AT47" s="9">
        <v>336.5</v>
      </c>
      <c r="AU47" s="9">
        <f t="shared" si="222"/>
        <v>16.4970388673177</v>
      </c>
      <c r="AV47" s="9">
        <f t="shared" si="198"/>
        <v>1599.14285714286</v>
      </c>
      <c r="AW47" s="9">
        <f t="shared" si="199"/>
        <v>78.3985791045445</v>
      </c>
      <c r="AX47" s="8">
        <f t="shared" si="200"/>
        <v>1.43447901142175</v>
      </c>
      <c r="AY47" s="8">
        <f t="shared" si="201"/>
        <v>1.37925749027133</v>
      </c>
      <c r="AZ47" s="8">
        <f t="shared" si="202"/>
        <v>4.75228189344088</v>
      </c>
    </row>
    <row r="48" s="1" customFormat="1" ht="20.4" spans="1:52">
      <c r="A48" s="2"/>
      <c r="B48" s="3">
        <v>7</v>
      </c>
      <c r="C48" s="3">
        <v>13056</v>
      </c>
      <c r="D48" s="3">
        <v>17152</v>
      </c>
      <c r="E48" s="3">
        <v>1920</v>
      </c>
      <c r="F48" s="3">
        <v>5232</v>
      </c>
      <c r="G48" s="3">
        <v>73.2</v>
      </c>
      <c r="H48" s="3">
        <v>5706</v>
      </c>
      <c r="I48" s="3">
        <v>79.8</v>
      </c>
      <c r="J48" s="6">
        <v>6.6</v>
      </c>
      <c r="K48" s="8">
        <f t="shared" si="180"/>
        <v>1.09059633027523</v>
      </c>
      <c r="L48" s="8">
        <f t="shared" si="181"/>
        <v>1.88614257069399</v>
      </c>
      <c r="M48" s="8">
        <f t="shared" si="182"/>
        <v>1.87934153089857</v>
      </c>
      <c r="N48" s="8">
        <f t="shared" si="183"/>
        <v>2.12308805799803</v>
      </c>
      <c r="O48" s="8">
        <f t="shared" si="184"/>
        <v>24.5645454310634</v>
      </c>
      <c r="P48" s="9">
        <f t="shared" ref="P48:T48" si="223">Z48*8.6</f>
        <v>3025.222</v>
      </c>
      <c r="Q48" s="9">
        <f t="shared" ref="Q48:U48" si="224">P48/7142.4*100</f>
        <v>42.3558187724014</v>
      </c>
      <c r="R48" s="9">
        <f t="shared" si="223"/>
        <v>3036.1698</v>
      </c>
      <c r="S48" s="9">
        <f t="shared" si="224"/>
        <v>42.5090977822581</v>
      </c>
      <c r="T48" s="9">
        <f t="shared" si="223"/>
        <v>2687.5946</v>
      </c>
      <c r="U48" s="9">
        <f t="shared" si="224"/>
        <v>37.6287326388889</v>
      </c>
      <c r="V48" s="9">
        <f t="shared" si="187"/>
        <v>232.286</v>
      </c>
      <c r="W48" s="9">
        <f t="shared" si="188"/>
        <v>3.25221214157706</v>
      </c>
      <c r="X48" s="2"/>
      <c r="Y48" s="3">
        <v>7</v>
      </c>
      <c r="Z48" s="3">
        <v>351.77</v>
      </c>
      <c r="AA48" s="9">
        <f t="shared" si="189"/>
        <v>46.9778311965812</v>
      </c>
      <c r="AB48" s="3">
        <v>353.043</v>
      </c>
      <c r="AC48" s="9">
        <f t="shared" ref="AC48:AG48" si="225">AB48/748.8*100</f>
        <v>47.1478365384615</v>
      </c>
      <c r="AD48" s="3">
        <v>312.511</v>
      </c>
      <c r="AE48" s="9">
        <f t="shared" si="225"/>
        <v>41.7349091880342</v>
      </c>
      <c r="AF48" s="3">
        <v>27.01</v>
      </c>
      <c r="AG48" s="9">
        <f t="shared" si="225"/>
        <v>3.6071047008547</v>
      </c>
      <c r="AH48" s="9">
        <f t="shared" si="191"/>
        <v>600.631578947368</v>
      </c>
      <c r="AI48" s="9">
        <f t="shared" si="192"/>
        <v>80.2125506072875</v>
      </c>
      <c r="AJ48" s="8">
        <f t="shared" si="193"/>
        <v>1.70745537978613</v>
      </c>
      <c r="AK48" s="8">
        <f t="shared" si="194"/>
        <v>1.70129864902397</v>
      </c>
      <c r="AL48" s="8">
        <f t="shared" si="195"/>
        <v>1.9219533998719</v>
      </c>
      <c r="AM48" s="8">
        <f t="shared" si="196"/>
        <v>22.2373779691732</v>
      </c>
      <c r="AN48" s="2"/>
      <c r="AO48" s="3">
        <v>7</v>
      </c>
      <c r="AP48" s="9">
        <v>1120.6</v>
      </c>
      <c r="AQ48" s="9">
        <f t="shared" ref="AQ48:AU48" si="226">AP48/2039.76*100</f>
        <v>54.9378358238224</v>
      </c>
      <c r="AR48" s="9">
        <v>1167.598</v>
      </c>
      <c r="AS48" s="9">
        <f t="shared" si="226"/>
        <v>57.241930423187</v>
      </c>
      <c r="AT48" s="9">
        <v>337.41</v>
      </c>
      <c r="AU48" s="9">
        <f t="shared" si="226"/>
        <v>16.541651959054</v>
      </c>
      <c r="AV48" s="9">
        <f t="shared" si="198"/>
        <v>1630.28571428571</v>
      </c>
      <c r="AW48" s="9">
        <f t="shared" si="199"/>
        <v>79.9253693711865</v>
      </c>
      <c r="AX48" s="8">
        <f t="shared" si="200"/>
        <v>1.4548328701461</v>
      </c>
      <c r="AY48" s="8">
        <f t="shared" si="201"/>
        <v>1.39627313020895</v>
      </c>
      <c r="AZ48" s="8">
        <f t="shared" si="202"/>
        <v>4.83176466105247</v>
      </c>
    </row>
    <row r="49" s="1" customFormat="1" ht="20.4" spans="1:52">
      <c r="A49" s="2"/>
      <c r="B49" s="3">
        <v>8</v>
      </c>
      <c r="C49" s="3">
        <v>13056</v>
      </c>
      <c r="D49" s="3">
        <v>28288</v>
      </c>
      <c r="E49" s="3">
        <v>1920</v>
      </c>
      <c r="F49" s="3">
        <v>5380</v>
      </c>
      <c r="G49" s="3">
        <v>75.3</v>
      </c>
      <c r="H49" s="3">
        <v>5832</v>
      </c>
      <c r="I49" s="3">
        <v>81.6</v>
      </c>
      <c r="J49" s="6">
        <v>6.3</v>
      </c>
      <c r="K49" s="8">
        <f t="shared" si="180"/>
        <v>1.08401486988848</v>
      </c>
      <c r="L49" s="8">
        <f t="shared" si="181"/>
        <v>1.93323318000947</v>
      </c>
      <c r="M49" s="8">
        <f t="shared" si="182"/>
        <v>1.92907015444668</v>
      </c>
      <c r="N49" s="8">
        <f t="shared" si="183"/>
        <v>2.17174220794387</v>
      </c>
      <c r="O49" s="8">
        <f t="shared" si="184"/>
        <v>24.1933476590696</v>
      </c>
      <c r="P49" s="9">
        <f t="shared" ref="P49:T49" si="227">Z49*8.6</f>
        <v>3016.708</v>
      </c>
      <c r="Q49" s="9">
        <f t="shared" ref="Q49:U49" si="228">P49/7142.4*100</f>
        <v>42.2366151433692</v>
      </c>
      <c r="R49" s="9">
        <f t="shared" si="227"/>
        <v>3023.2182</v>
      </c>
      <c r="S49" s="9">
        <f t="shared" si="228"/>
        <v>42.3277637768817</v>
      </c>
      <c r="T49" s="9">
        <f t="shared" si="227"/>
        <v>2685.4016</v>
      </c>
      <c r="U49" s="9">
        <f t="shared" si="228"/>
        <v>37.5980286738351</v>
      </c>
      <c r="V49" s="9">
        <f t="shared" si="187"/>
        <v>241.058</v>
      </c>
      <c r="W49" s="9">
        <f t="shared" si="188"/>
        <v>3.37502800179211</v>
      </c>
      <c r="X49" s="2"/>
      <c r="Y49" s="3">
        <v>8</v>
      </c>
      <c r="Z49" s="3">
        <v>350.78</v>
      </c>
      <c r="AA49" s="9">
        <f t="shared" si="189"/>
        <v>46.8456196581197</v>
      </c>
      <c r="AB49" s="3">
        <v>351.537</v>
      </c>
      <c r="AC49" s="9">
        <f t="shared" ref="AC49:AG49" si="229">AB49/748.8*100</f>
        <v>46.9467147435897</v>
      </c>
      <c r="AD49" s="3">
        <v>312.256</v>
      </c>
      <c r="AE49" s="9">
        <f t="shared" si="229"/>
        <v>41.7008547008547</v>
      </c>
      <c r="AF49" s="3">
        <v>28.03</v>
      </c>
      <c r="AG49" s="9">
        <f t="shared" si="229"/>
        <v>3.74332264957265</v>
      </c>
      <c r="AH49" s="9">
        <f t="shared" si="191"/>
        <v>613.894736842105</v>
      </c>
      <c r="AI49" s="9">
        <f t="shared" si="192"/>
        <v>81.9838056680162</v>
      </c>
      <c r="AJ49" s="8">
        <f t="shared" si="193"/>
        <v>1.75008477348225</v>
      </c>
      <c r="AK49" s="8">
        <f t="shared" si="194"/>
        <v>1.74631613981489</v>
      </c>
      <c r="AL49" s="8">
        <f t="shared" si="195"/>
        <v>1.96599820929656</v>
      </c>
      <c r="AM49" s="8">
        <f t="shared" si="196"/>
        <v>21.9013463018946</v>
      </c>
      <c r="AN49" s="2"/>
      <c r="AO49" s="3">
        <v>8</v>
      </c>
      <c r="AP49" s="9">
        <v>1121.2</v>
      </c>
      <c r="AQ49" s="9">
        <f t="shared" ref="AQ49:AU49" si="230">AP49/2039.76*100</f>
        <v>54.967251049143</v>
      </c>
      <c r="AR49" s="9">
        <v>1187.227</v>
      </c>
      <c r="AS49" s="9">
        <f t="shared" si="230"/>
        <v>58.2042495195513</v>
      </c>
      <c r="AT49" s="9">
        <v>335.4</v>
      </c>
      <c r="AU49" s="9">
        <f t="shared" si="230"/>
        <v>16.4431109542299</v>
      </c>
      <c r="AV49" s="9">
        <f t="shared" si="198"/>
        <v>1666.28571428571</v>
      </c>
      <c r="AW49" s="9">
        <f t="shared" si="199"/>
        <v>81.6902828904241</v>
      </c>
      <c r="AX49" s="8">
        <f t="shared" si="200"/>
        <v>1.48616278477142</v>
      </c>
      <c r="AY49" s="8">
        <f t="shared" si="201"/>
        <v>1.40351062963167</v>
      </c>
      <c r="AZ49" s="8">
        <f t="shared" si="202"/>
        <v>4.96805520061334</v>
      </c>
    </row>
    <row r="50" s="1" customFormat="1" ht="20.4" spans="1:52">
      <c r="A50" s="2"/>
      <c r="B50" s="3">
        <v>9</v>
      </c>
      <c r="C50" s="3">
        <v>13056</v>
      </c>
      <c r="D50" s="3">
        <v>20224</v>
      </c>
      <c r="E50" s="3">
        <v>1920</v>
      </c>
      <c r="F50" s="3">
        <v>5324</v>
      </c>
      <c r="G50" s="3">
        <v>74.5</v>
      </c>
      <c r="H50" s="3">
        <v>5770</v>
      </c>
      <c r="I50" s="3">
        <v>80.7</v>
      </c>
      <c r="J50" s="6">
        <v>6.2</v>
      </c>
      <c r="K50" s="8">
        <f t="shared" si="180"/>
        <v>1.08377160030053</v>
      </c>
      <c r="L50" s="8">
        <f t="shared" si="181"/>
        <v>1.90811169034224</v>
      </c>
      <c r="M50" s="8">
        <f t="shared" si="182"/>
        <v>1.90065221687858</v>
      </c>
      <c r="N50" s="8">
        <f t="shared" si="183"/>
        <v>2.12928832025205</v>
      </c>
      <c r="O50" s="8">
        <f t="shared" si="184"/>
        <v>21.3672048585395</v>
      </c>
      <c r="P50" s="9">
        <f t="shared" ref="P50:T50" si="231">Z50*8.6</f>
        <v>3023.932</v>
      </c>
      <c r="Q50" s="9">
        <f t="shared" ref="Q50:U50" si="232">P50/7142.4*100</f>
        <v>42.3377576164875</v>
      </c>
      <c r="R50" s="9">
        <f t="shared" si="231"/>
        <v>3035.8</v>
      </c>
      <c r="S50" s="9">
        <f t="shared" si="232"/>
        <v>42.5039202508961</v>
      </c>
      <c r="T50" s="9">
        <f t="shared" si="231"/>
        <v>2709.8256</v>
      </c>
      <c r="U50" s="9">
        <f t="shared" si="232"/>
        <v>37.9399865591398</v>
      </c>
      <c r="V50" s="9">
        <f t="shared" si="187"/>
        <v>270.04</v>
      </c>
      <c r="W50" s="9">
        <f t="shared" si="188"/>
        <v>3.78080197132616</v>
      </c>
      <c r="X50" s="2"/>
      <c r="Y50" s="3">
        <v>9</v>
      </c>
      <c r="Z50" s="3">
        <v>351.62</v>
      </c>
      <c r="AA50" s="9">
        <f t="shared" si="189"/>
        <v>46.9577991452991</v>
      </c>
      <c r="AB50" s="3">
        <v>353</v>
      </c>
      <c r="AC50" s="9">
        <f t="shared" ref="AC50:AG50" si="233">AB50/748.8*100</f>
        <v>47.142094017094</v>
      </c>
      <c r="AD50" s="3">
        <v>315.096</v>
      </c>
      <c r="AE50" s="9">
        <f t="shared" si="233"/>
        <v>42.0801282051282</v>
      </c>
      <c r="AF50" s="3">
        <v>31.4</v>
      </c>
      <c r="AG50" s="9">
        <f t="shared" si="233"/>
        <v>4.19337606837607</v>
      </c>
      <c r="AH50" s="9">
        <f t="shared" si="191"/>
        <v>607.368421052632</v>
      </c>
      <c r="AI50" s="9">
        <f t="shared" si="192"/>
        <v>81.1122357174989</v>
      </c>
      <c r="AJ50" s="8">
        <f t="shared" si="193"/>
        <v>1.72734321441508</v>
      </c>
      <c r="AK50" s="8">
        <f t="shared" si="194"/>
        <v>1.72059042791114</v>
      </c>
      <c r="AL50" s="8">
        <f t="shared" si="195"/>
        <v>1.92756626885975</v>
      </c>
      <c r="AM50" s="8">
        <f t="shared" si="196"/>
        <v>19.3429433456252</v>
      </c>
      <c r="AN50" s="2"/>
      <c r="AO50" s="3">
        <v>9</v>
      </c>
      <c r="AP50" s="9">
        <v>1112.03</v>
      </c>
      <c r="AQ50" s="9">
        <f t="shared" ref="AQ50:AU50" si="234">AP50/2039.76*100</f>
        <v>54.5176883554928</v>
      </c>
      <c r="AR50" s="9">
        <v>1170.776</v>
      </c>
      <c r="AS50" s="9">
        <f t="shared" si="234"/>
        <v>57.3977330666353</v>
      </c>
      <c r="AT50" s="9">
        <v>334.4</v>
      </c>
      <c r="AU50" s="9">
        <f t="shared" si="234"/>
        <v>16.3940855786955</v>
      </c>
      <c r="AV50" s="9">
        <f t="shared" si="198"/>
        <v>1648.57142857143</v>
      </c>
      <c r="AW50" s="9">
        <f t="shared" si="199"/>
        <v>80.821833380958</v>
      </c>
      <c r="AX50" s="8">
        <f t="shared" si="200"/>
        <v>1.48248826791672</v>
      </c>
      <c r="AY50" s="8">
        <f t="shared" si="201"/>
        <v>1.40810148873177</v>
      </c>
      <c r="AZ50" s="8">
        <f t="shared" si="202"/>
        <v>4.92993848257006</v>
      </c>
    </row>
    <row r="51" s="1" customFormat="1" ht="20.4" spans="1:52">
      <c r="A51" s="2"/>
      <c r="B51" s="3">
        <v>10</v>
      </c>
      <c r="C51" s="3">
        <v>13056</v>
      </c>
      <c r="D51" s="3">
        <v>25216</v>
      </c>
      <c r="E51" s="3">
        <v>1920</v>
      </c>
      <c r="F51" s="3">
        <v>5374</v>
      </c>
      <c r="G51" s="3">
        <v>75.2</v>
      </c>
      <c r="H51" s="3">
        <v>5809</v>
      </c>
      <c r="I51" s="3">
        <v>81.3</v>
      </c>
      <c r="J51" s="6">
        <v>6</v>
      </c>
      <c r="K51" s="8">
        <f t="shared" si="180"/>
        <v>1.08094529214738</v>
      </c>
      <c r="L51" s="8">
        <f t="shared" si="181"/>
        <v>1.91833550958243</v>
      </c>
      <c r="M51" s="8">
        <f t="shared" si="182"/>
        <v>1.91193361887596</v>
      </c>
      <c r="N51" s="8">
        <f t="shared" si="183"/>
        <v>2.17388473239101</v>
      </c>
      <c r="O51" s="8">
        <f t="shared" si="184"/>
        <v>22.9750039550704</v>
      </c>
      <c r="P51" s="9">
        <f t="shared" ref="P51:T51" si="235">Z51*8.6</f>
        <v>3028.146</v>
      </c>
      <c r="Q51" s="9">
        <f t="shared" ref="Q51:U51" si="236">P51/7142.4*100</f>
        <v>42.3967573924731</v>
      </c>
      <c r="R51" s="9">
        <f t="shared" si="235"/>
        <v>3038.2854</v>
      </c>
      <c r="S51" s="9">
        <f t="shared" si="236"/>
        <v>42.538718077957</v>
      </c>
      <c r="T51" s="9">
        <f t="shared" si="235"/>
        <v>2672.1748</v>
      </c>
      <c r="U51" s="9">
        <f t="shared" si="236"/>
        <v>37.4128416218638</v>
      </c>
      <c r="V51" s="9">
        <f t="shared" si="187"/>
        <v>252.84</v>
      </c>
      <c r="W51" s="9">
        <f t="shared" si="188"/>
        <v>3.53998655913978</v>
      </c>
      <c r="X51" s="2"/>
      <c r="Y51" s="3">
        <v>10</v>
      </c>
      <c r="Z51" s="3">
        <v>352.11</v>
      </c>
      <c r="AA51" s="9">
        <f t="shared" si="189"/>
        <v>47.0232371794872</v>
      </c>
      <c r="AB51" s="3">
        <v>353.289</v>
      </c>
      <c r="AC51" s="9">
        <f t="shared" ref="AC51:AG51" si="237">AB51/748.8*100</f>
        <v>47.1806891025641</v>
      </c>
      <c r="AD51" s="3">
        <v>310.718</v>
      </c>
      <c r="AE51" s="9">
        <f t="shared" si="237"/>
        <v>41.4954594017094</v>
      </c>
      <c r="AF51" s="3">
        <v>29.4</v>
      </c>
      <c r="AG51" s="9">
        <f t="shared" si="237"/>
        <v>3.92628205128205</v>
      </c>
      <c r="AH51" s="9">
        <f t="shared" si="191"/>
        <v>611.473684210526</v>
      </c>
      <c r="AI51" s="9">
        <f t="shared" si="192"/>
        <v>81.660481331534</v>
      </c>
      <c r="AJ51" s="8">
        <f t="shared" si="193"/>
        <v>1.7365984613062</v>
      </c>
      <c r="AK51" s="8">
        <f t="shared" si="194"/>
        <v>1.73080306550877</v>
      </c>
      <c r="AL51" s="8">
        <f t="shared" si="195"/>
        <v>1.96793775774344</v>
      </c>
      <c r="AM51" s="8">
        <f t="shared" si="196"/>
        <v>20.7984246330111</v>
      </c>
      <c r="AN51" s="2"/>
      <c r="AO51" s="3">
        <v>10</v>
      </c>
      <c r="AP51" s="9">
        <v>1117.25</v>
      </c>
      <c r="AQ51" s="9">
        <f t="shared" ref="AQ51:AU51" si="238">AP51/2039.76*100</f>
        <v>54.7736008157823</v>
      </c>
      <c r="AR51" s="9">
        <v>1169.21</v>
      </c>
      <c r="AS51" s="9">
        <f t="shared" si="238"/>
        <v>57.3209593285485</v>
      </c>
      <c r="AT51" s="9">
        <v>332.66</v>
      </c>
      <c r="AU51" s="9">
        <f t="shared" si="238"/>
        <v>16.3087814252657</v>
      </c>
      <c r="AV51" s="9">
        <f t="shared" si="198"/>
        <v>1659.71428571429</v>
      </c>
      <c r="AW51" s="9">
        <f t="shared" si="199"/>
        <v>81.3681161369125</v>
      </c>
      <c r="AX51" s="8">
        <f t="shared" si="200"/>
        <v>1.48553527474986</v>
      </c>
      <c r="AY51" s="8">
        <f t="shared" si="201"/>
        <v>1.41951769631998</v>
      </c>
      <c r="AZ51" s="8">
        <f t="shared" si="202"/>
        <v>4.989221083732</v>
      </c>
    </row>
    <row r="52" s="1" customFormat="1" ht="20.4" spans="1:52">
      <c r="A52" s="2"/>
      <c r="B52" s="3">
        <v>11</v>
      </c>
      <c r="C52" s="3">
        <v>12672</v>
      </c>
      <c r="D52" s="3">
        <v>62464</v>
      </c>
      <c r="E52" s="3">
        <v>1920</v>
      </c>
      <c r="F52" s="3">
        <v>5778</v>
      </c>
      <c r="G52" s="3">
        <v>80.9</v>
      </c>
      <c r="H52" s="3">
        <v>6134</v>
      </c>
      <c r="I52" s="3">
        <v>85.8</v>
      </c>
      <c r="J52" s="6">
        <v>4.9</v>
      </c>
      <c r="K52" s="8">
        <f t="shared" si="180"/>
        <v>1.06161301488404</v>
      </c>
      <c r="L52" s="8">
        <f t="shared" si="181"/>
        <v>2.0095109425635</v>
      </c>
      <c r="M52" s="8">
        <f t="shared" si="182"/>
        <v>2.00238575742902</v>
      </c>
      <c r="N52" s="8">
        <f t="shared" si="183"/>
        <v>2.32584681640712</v>
      </c>
      <c r="O52" s="8">
        <f t="shared" si="184"/>
        <v>28.1919294052762</v>
      </c>
      <c r="P52" s="9">
        <f t="shared" ref="P52:T52" si="239">Z52*8.6</f>
        <v>3052.484</v>
      </c>
      <c r="Q52" s="9">
        <f t="shared" ref="Q52:U52" si="240">P52/7142.4*100</f>
        <v>42.7375112007169</v>
      </c>
      <c r="R52" s="9">
        <f t="shared" si="239"/>
        <v>3063.3458</v>
      </c>
      <c r="S52" s="9">
        <f t="shared" si="240"/>
        <v>42.8895861335125</v>
      </c>
      <c r="T52" s="9">
        <f t="shared" si="239"/>
        <v>2637.319</v>
      </c>
      <c r="U52" s="9">
        <f t="shared" si="240"/>
        <v>36.9248291890681</v>
      </c>
      <c r="V52" s="9">
        <f t="shared" si="187"/>
        <v>217.58</v>
      </c>
      <c r="W52" s="9">
        <f t="shared" si="188"/>
        <v>3.04631496415771</v>
      </c>
      <c r="X52" s="2"/>
      <c r="Y52" s="3">
        <v>11</v>
      </c>
      <c r="Z52" s="3">
        <v>354.94</v>
      </c>
      <c r="AA52" s="9">
        <f t="shared" si="189"/>
        <v>47.4011752136752</v>
      </c>
      <c r="AB52" s="3">
        <v>356.203</v>
      </c>
      <c r="AC52" s="9">
        <f t="shared" ref="AC52:AG52" si="241">AB52/748.8*100</f>
        <v>47.5698450854701</v>
      </c>
      <c r="AD52" s="3">
        <v>306.665</v>
      </c>
      <c r="AE52" s="9">
        <f t="shared" si="241"/>
        <v>40.9541933760684</v>
      </c>
      <c r="AF52" s="3">
        <v>25.3</v>
      </c>
      <c r="AG52" s="9">
        <f t="shared" si="241"/>
        <v>3.37873931623932</v>
      </c>
      <c r="AH52" s="9">
        <f t="shared" si="191"/>
        <v>645.684210526316</v>
      </c>
      <c r="AI52" s="9">
        <f t="shared" si="192"/>
        <v>86.2291947818264</v>
      </c>
      <c r="AJ52" s="8">
        <f t="shared" si="193"/>
        <v>1.81913622168906</v>
      </c>
      <c r="AK52" s="8">
        <f t="shared" si="194"/>
        <v>1.81268605409364</v>
      </c>
      <c r="AL52" s="8">
        <f t="shared" si="195"/>
        <v>2.10550343380013</v>
      </c>
      <c r="AM52" s="8">
        <f t="shared" si="196"/>
        <v>25.5211150405658</v>
      </c>
      <c r="AN52" s="2"/>
      <c r="AO52" s="3">
        <v>11</v>
      </c>
      <c r="AP52" s="9">
        <v>1133.67</v>
      </c>
      <c r="AQ52" s="9">
        <f t="shared" ref="AQ52:AU52" si="242">AP52/2039.76*100</f>
        <v>55.5785974820567</v>
      </c>
      <c r="AR52" s="9">
        <v>1184.061</v>
      </c>
      <c r="AS52" s="9">
        <f t="shared" si="242"/>
        <v>58.0490351806095</v>
      </c>
      <c r="AT52" s="9">
        <v>340.15</v>
      </c>
      <c r="AU52" s="9">
        <f t="shared" si="242"/>
        <v>16.6759814880182</v>
      </c>
      <c r="AV52" s="9">
        <f t="shared" si="198"/>
        <v>1752.57142857143</v>
      </c>
      <c r="AW52" s="9">
        <f t="shared" si="199"/>
        <v>85.9204724365332</v>
      </c>
      <c r="AX52" s="8">
        <f t="shared" si="200"/>
        <v>1.54592732326994</v>
      </c>
      <c r="AY52" s="8">
        <f t="shared" si="201"/>
        <v>1.48013609820054</v>
      </c>
      <c r="AZ52" s="8">
        <f t="shared" si="202"/>
        <v>5.1523487537011</v>
      </c>
    </row>
    <row r="53" s="1" customFormat="1" ht="20.4" spans="1:52">
      <c r="A53" s="2"/>
      <c r="B53" s="3">
        <v>12</v>
      </c>
      <c r="C53" s="3">
        <v>12672</v>
      </c>
      <c r="D53" s="3">
        <v>73984</v>
      </c>
      <c r="E53" s="3">
        <v>1920</v>
      </c>
      <c r="F53" s="3">
        <v>5751</v>
      </c>
      <c r="G53" s="3">
        <v>80.5</v>
      </c>
      <c r="H53" s="3">
        <v>6119</v>
      </c>
      <c r="I53" s="3">
        <v>85.6</v>
      </c>
      <c r="J53" s="6">
        <v>5.1</v>
      </c>
      <c r="K53" s="8">
        <f t="shared" si="180"/>
        <v>1.06398887150061</v>
      </c>
      <c r="L53" s="8">
        <f t="shared" si="181"/>
        <v>2.00776462528071</v>
      </c>
      <c r="M53" s="8">
        <f t="shared" si="182"/>
        <v>2.00199106337887</v>
      </c>
      <c r="N53" s="8">
        <f t="shared" si="183"/>
        <v>2.27061028764948</v>
      </c>
      <c r="O53" s="8">
        <f t="shared" si="184"/>
        <v>25.7887505584261</v>
      </c>
      <c r="P53" s="9">
        <f t="shared" ref="P53:T53" si="243">Z53*8.6</f>
        <v>3047.668</v>
      </c>
      <c r="Q53" s="9">
        <f t="shared" ref="Q53:U53" si="244">P53/7142.4*100</f>
        <v>42.6700828853047</v>
      </c>
      <c r="R53" s="9">
        <f t="shared" si="243"/>
        <v>3056.4572</v>
      </c>
      <c r="S53" s="9">
        <f t="shared" si="244"/>
        <v>42.7931395609319</v>
      </c>
      <c r="T53" s="9">
        <f t="shared" si="243"/>
        <v>2694.8702</v>
      </c>
      <c r="U53" s="9">
        <f t="shared" si="244"/>
        <v>37.7305975582437</v>
      </c>
      <c r="V53" s="9">
        <f t="shared" si="187"/>
        <v>237.274</v>
      </c>
      <c r="W53" s="9">
        <f t="shared" si="188"/>
        <v>3.32204861111111</v>
      </c>
      <c r="X53" s="2"/>
      <c r="Y53" s="3">
        <v>12</v>
      </c>
      <c r="Z53" s="3">
        <v>354.38</v>
      </c>
      <c r="AA53" s="9">
        <f t="shared" si="189"/>
        <v>47.3263888888889</v>
      </c>
      <c r="AB53" s="3">
        <v>355.402</v>
      </c>
      <c r="AC53" s="9">
        <f t="shared" ref="AC53:AG53" si="245">AB53/748.8*100</f>
        <v>47.4628739316239</v>
      </c>
      <c r="AD53" s="3">
        <v>313.357</v>
      </c>
      <c r="AE53" s="9">
        <f t="shared" si="245"/>
        <v>41.847889957265</v>
      </c>
      <c r="AF53" s="3">
        <v>27.59</v>
      </c>
      <c r="AG53" s="9">
        <f t="shared" si="245"/>
        <v>3.68456196581197</v>
      </c>
      <c r="AH53" s="9">
        <f t="shared" si="191"/>
        <v>644.105263157895</v>
      </c>
      <c r="AI53" s="9">
        <f t="shared" si="192"/>
        <v>86.0183310841206</v>
      </c>
      <c r="AJ53" s="8">
        <f t="shared" si="193"/>
        <v>1.81755534499096</v>
      </c>
      <c r="AK53" s="8">
        <f t="shared" si="194"/>
        <v>1.8123287521114</v>
      </c>
      <c r="AL53" s="8">
        <f t="shared" si="195"/>
        <v>2.05549983934584</v>
      </c>
      <c r="AM53" s="8">
        <f t="shared" si="196"/>
        <v>23.3456057686805</v>
      </c>
      <c r="AN53" s="2"/>
      <c r="AO53" s="3">
        <v>12</v>
      </c>
      <c r="AP53" s="9">
        <v>1166.96</v>
      </c>
      <c r="AQ53" s="9">
        <f t="shared" ref="AQ53:AU53" si="246">AP53/2039.76*100</f>
        <v>57.2106522335961</v>
      </c>
      <c r="AR53" s="9">
        <v>1181.113</v>
      </c>
      <c r="AS53" s="9">
        <f t="shared" si="246"/>
        <v>57.9045083735341</v>
      </c>
      <c r="AT53" s="9">
        <v>317.49</v>
      </c>
      <c r="AU53" s="9">
        <f t="shared" si="246"/>
        <v>15.5650664784092</v>
      </c>
      <c r="AV53" s="9">
        <f t="shared" si="198"/>
        <v>1748.28571428571</v>
      </c>
      <c r="AW53" s="9">
        <f t="shared" si="199"/>
        <v>85.710363684243</v>
      </c>
      <c r="AX53" s="8">
        <f t="shared" si="200"/>
        <v>1.49815393354161</v>
      </c>
      <c r="AY53" s="8">
        <f t="shared" si="201"/>
        <v>1.48020190641007</v>
      </c>
      <c r="AZ53" s="8">
        <f t="shared" si="202"/>
        <v>5.50658513428994</v>
      </c>
    </row>
    <row r="54" s="1" customFormat="1" ht="20.4" spans="1:52">
      <c r="A54" s="2"/>
      <c r="B54" s="3">
        <v>13</v>
      </c>
      <c r="C54" s="3">
        <v>12672</v>
      </c>
      <c r="D54" s="3">
        <v>64000</v>
      </c>
      <c r="E54" s="3">
        <v>1920</v>
      </c>
      <c r="F54" s="3">
        <v>5767</v>
      </c>
      <c r="G54" s="3">
        <v>80.7</v>
      </c>
      <c r="H54" s="3">
        <v>6102</v>
      </c>
      <c r="I54" s="3">
        <v>85.4</v>
      </c>
      <c r="J54" s="6">
        <v>4.7</v>
      </c>
      <c r="K54" s="8">
        <f t="shared" si="180"/>
        <v>1.05808912779608</v>
      </c>
      <c r="L54" s="8">
        <f t="shared" si="181"/>
        <v>2.01864884839094</v>
      </c>
      <c r="M54" s="8">
        <f t="shared" si="182"/>
        <v>2.00217529028261</v>
      </c>
      <c r="N54" s="8">
        <f t="shared" si="183"/>
        <v>2.24892197692846</v>
      </c>
      <c r="O54" s="8">
        <f t="shared" si="184"/>
        <v>28.6218186252896</v>
      </c>
      <c r="P54" s="9">
        <f t="shared" ref="P54:T54" si="247">Z54*8.6</f>
        <v>3022.814</v>
      </c>
      <c r="Q54" s="9">
        <f t="shared" ref="Q54:U54" si="248">P54/7142.4*100</f>
        <v>42.3221046146953</v>
      </c>
      <c r="R54" s="9">
        <f t="shared" si="247"/>
        <v>3047.6852</v>
      </c>
      <c r="S54" s="9">
        <f t="shared" si="248"/>
        <v>42.6703237007168</v>
      </c>
      <c r="T54" s="9">
        <f t="shared" si="247"/>
        <v>2713.3</v>
      </c>
      <c r="U54" s="9">
        <f t="shared" si="248"/>
        <v>37.9886312724014</v>
      </c>
      <c r="V54" s="9">
        <f t="shared" si="187"/>
        <v>213.194</v>
      </c>
      <c r="W54" s="9">
        <f t="shared" si="188"/>
        <v>2.98490703405018</v>
      </c>
      <c r="X54" s="2"/>
      <c r="Y54" s="3">
        <v>13</v>
      </c>
      <c r="Z54" s="3">
        <v>351.49</v>
      </c>
      <c r="AA54" s="9">
        <f t="shared" si="189"/>
        <v>46.940438034188</v>
      </c>
      <c r="AB54" s="3">
        <v>354.382</v>
      </c>
      <c r="AC54" s="9">
        <f t="shared" ref="AC54:AG54" si="249">AB54/748.8*100</f>
        <v>47.326655982906</v>
      </c>
      <c r="AD54" s="3">
        <v>315.5</v>
      </c>
      <c r="AE54" s="9">
        <f t="shared" si="249"/>
        <v>42.1340811965812</v>
      </c>
      <c r="AF54" s="3">
        <v>24.79</v>
      </c>
      <c r="AG54" s="9">
        <f t="shared" si="249"/>
        <v>3.31063034188034</v>
      </c>
      <c r="AH54" s="9">
        <f t="shared" si="191"/>
        <v>642.315789473684</v>
      </c>
      <c r="AI54" s="9">
        <f t="shared" si="192"/>
        <v>85.7793522267206</v>
      </c>
      <c r="AJ54" s="8">
        <f t="shared" si="193"/>
        <v>1.82740843117495</v>
      </c>
      <c r="AK54" s="8">
        <f t="shared" si="194"/>
        <v>1.81249552594004</v>
      </c>
      <c r="AL54" s="8">
        <f t="shared" si="195"/>
        <v>2.03586621069314</v>
      </c>
      <c r="AM54" s="8">
        <f t="shared" si="196"/>
        <v>25.9102779134201</v>
      </c>
      <c r="AN54" s="2"/>
      <c r="AO54" s="3">
        <v>13</v>
      </c>
      <c r="AP54" s="9">
        <v>1147.4</v>
      </c>
      <c r="AQ54" s="9">
        <f t="shared" ref="AQ54:AU54" si="250">AP54/2039.76*100</f>
        <v>56.2517158881437</v>
      </c>
      <c r="AR54" s="9">
        <v>1183.398</v>
      </c>
      <c r="AS54" s="9">
        <f t="shared" si="250"/>
        <v>58.0165313566302</v>
      </c>
      <c r="AT54" s="9">
        <v>321.97</v>
      </c>
      <c r="AU54" s="9">
        <f t="shared" si="250"/>
        <v>15.7847001608032</v>
      </c>
      <c r="AV54" s="9">
        <f t="shared" si="198"/>
        <v>1743.42857142857</v>
      </c>
      <c r="AW54" s="9">
        <f t="shared" si="199"/>
        <v>85.4722404316474</v>
      </c>
      <c r="AX54" s="8">
        <f t="shared" si="200"/>
        <v>1.51946014591997</v>
      </c>
      <c r="AY54" s="8">
        <f t="shared" si="201"/>
        <v>1.47323941009582</v>
      </c>
      <c r="AZ54" s="8">
        <f t="shared" si="202"/>
        <v>5.4148789372568</v>
      </c>
    </row>
    <row r="55" s="1" customFormat="1" spans="11:52">
      <c r="K55" s="1">
        <f t="shared" ref="K55:O55" si="251">MAX(K42:K54)</f>
        <v>1.12259059367772</v>
      </c>
      <c r="L55" s="1">
        <f t="shared" si="251"/>
        <v>2.01864884839094</v>
      </c>
      <c r="M55" s="1">
        <f t="shared" si="251"/>
        <v>2.00238575742902</v>
      </c>
      <c r="N55" s="1">
        <f t="shared" si="251"/>
        <v>2.32584681640712</v>
      </c>
      <c r="O55" s="1">
        <f t="shared" si="251"/>
        <v>28.6218186252896</v>
      </c>
      <c r="AJ55" s="1">
        <f t="shared" ref="AJ55:AM55" si="252">MAX(AJ42:AJ54)</f>
        <v>1.82740843117495</v>
      </c>
      <c r="AK55" s="1">
        <f t="shared" si="252"/>
        <v>1.81268605409364</v>
      </c>
      <c r="AL55" s="1">
        <f t="shared" si="252"/>
        <v>2.10550343380013</v>
      </c>
      <c r="AM55" s="1">
        <f t="shared" si="252"/>
        <v>25.9102779134201</v>
      </c>
      <c r="AX55" s="1">
        <f t="shared" ref="AX55:AZ55" si="253">MAX(AX42:AX54)</f>
        <v>1.54592732326994</v>
      </c>
      <c r="AY55" s="1">
        <f t="shared" si="253"/>
        <v>1.48020190641007</v>
      </c>
      <c r="AZ55" s="1">
        <f t="shared" si="253"/>
        <v>5.50658513428994</v>
      </c>
    </row>
  </sheetData>
  <mergeCells count="12">
    <mergeCell ref="F2:V2"/>
    <mergeCell ref="Z2:AM2"/>
    <mergeCell ref="AO2:BA2"/>
    <mergeCell ref="A3:A25"/>
    <mergeCell ref="A27:A39"/>
    <mergeCell ref="A42:A54"/>
    <mergeCell ref="X3:X25"/>
    <mergeCell ref="X27:X39"/>
    <mergeCell ref="X42:X54"/>
    <mergeCell ref="AN3:AN25"/>
    <mergeCell ref="AN27:AN39"/>
    <mergeCell ref="AN41:AN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xiaohai</dc:creator>
  <cp:lastModifiedBy>っ小情绪〃围绕耳畔♂</cp:lastModifiedBy>
  <dcterms:created xsi:type="dcterms:W3CDTF">2026-03-16T23:04:59Z</dcterms:created>
  <dcterms:modified xsi:type="dcterms:W3CDTF">2026-03-16T23:07:51Z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58990D3170540FB21B1CB869F5B505C1_41</vt:lpwstr>
  </property>
  <property fmtid="{D5CDD505-2E9C-101B-9397-08002B2CF9AE}" pid="3" name="KSOProductBuildVer">
    <vt:lpwstr>2052-7.5.1.8994</vt:lpwstr>
  </property>
</Properties>
</file>