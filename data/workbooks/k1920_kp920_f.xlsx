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<sst xmlns="http://schemas.openxmlformats.org/spreadsheetml/2006/main" count="80" uniqueCount="26">
  <si>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M</t>
  </si>
  <si>
    <t>N</t>
  </si>
  <si>
    <t>K</t>
  </si>
  <si>
    <t>GFLOPS</t>
  </si>
  <si>
    <t>优化前 / %</t>
  </si>
  <si>
    <t>GFLOPS-ours</t>
  </si>
  <si>
    <t>优化后/ %</t>
  </si>
  <si>
    <t>提升Effi / %</t>
  </si>
  <si>
    <t>加速比</t>
  </si>
  <si>
    <t>avg:</t>
  </si>
  <si>
    <r>
      <t>KunPeng920F(36threads)-</t>
    </r>
    <r>
      <rPr>
        <sz val="14"/>
        <color rgb="FF000000"/>
        <rFont val="宋体-简"/>
        <charset val="134"/>
      </rPr>
      <t>算力折算✖</t>
    </r>
    <r>
      <rPr>
        <sz val="14"/>
        <color rgb="FF000000"/>
        <rFont val="Times New Roman"/>
        <charset val="134"/>
      </rPr>
      <t>️8.6</t>
    </r>
    <r>
      <rPr>
        <sz val="14"/>
        <color rgb="FF000000"/>
        <rFont val="宋体-简"/>
        <charset val="134"/>
      </rPr>
      <t>倍</t>
    </r>
  </si>
  <si>
    <r>
      <t>算力折算➗</t>
    </r>
    <r>
      <rPr>
        <sz val="14"/>
        <color rgb="FF000000"/>
        <rFont val="Times New Roman"/>
        <charset val="134"/>
      </rPr>
      <t>9.5</t>
    </r>
    <r>
      <rPr>
        <sz val="14"/>
        <color rgb="FF000000"/>
        <rFont val="宋体-简"/>
        <charset val="134"/>
      </rPr>
      <t>倍</t>
    </r>
    <r>
      <rPr>
        <sz val="14"/>
        <color rgb="FF000000"/>
        <rFont val="Times New Roman"/>
        <charset val="134"/>
      </rPr>
      <t>-KunPeng920-5250(36threads)--</t>
    </r>
    <r>
      <rPr>
        <sz val="14"/>
        <color rgb="FF000000"/>
        <rFont val="宋体-简"/>
        <charset val="134"/>
      </rPr>
      <t>总算力</t>
    </r>
    <r>
      <rPr>
        <sz val="14"/>
        <color rgb="FF000000"/>
        <rFont val="Times New Roman"/>
        <charset val="134"/>
      </rPr>
      <t>=2.6GHZ*4FLOPS*2*36=748.8GFLOPS</t>
    </r>
  </si>
  <si>
    <r>
      <t>算力折算➗8.3倍</t>
    </r>
    <r>
      <rPr>
        <sz val="14"/>
        <color rgb="FF000000"/>
        <rFont val="Times New Roman"/>
        <charset val="134"/>
      </rPr>
      <t>-KunPeng920-7285Z(36threads)--</t>
    </r>
    <r>
      <rPr>
        <sz val="14"/>
        <color rgb="FF000000"/>
        <rFont val="宋体-简"/>
        <charset val="134"/>
      </rPr>
      <t>总算力</t>
    </r>
    <r>
      <rPr>
        <sz val="14"/>
        <color rgb="FF000000"/>
        <rFont val="Times New Roman"/>
        <charset val="134"/>
      </rPr>
      <t>=3.0GHZ*4FLOPS*2*36=864GFLOPS</t>
    </r>
  </si>
  <si>
    <t>baseline/GFLOPS</t>
  </si>
  <si>
    <t>baseline / %</t>
  </si>
  <si>
    <t>ours-method/ %</t>
  </si>
  <si>
    <t>Speed/baseline</t>
  </si>
  <si>
    <t>Speed/openblas</t>
  </si>
  <si>
    <t>Speed/blis</t>
  </si>
  <si>
    <t>Speed/armpl</t>
  </si>
  <si>
    <t>Speed/libxsmm</t>
  </si>
  <si>
    <t>Openblas</t>
  </si>
  <si>
    <t>Blis</t>
  </si>
  <si>
    <t>ArmPL</t>
  </si>
  <si>
    <t>Libxsmm</t>
  </si>
  <si>
    <t>ours-method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</si>
</sst>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26">
    <font>
      <sz val="11"/>
      <color theme="1"/>
      <name val="等线"/>
      <charset val="134"/>
      <scheme val="minor"/>
    </font>
    <font>
      <sz val="14"/>
      <color rgb="FF000000"/>
      <name val="Times New Roman"/>
      <charset val="134"/>
    </font>
    <font>
      <sz val="14"/>
      <color rgb="FF000000"/>
      <name val="宋体-简"/>
      <charset val="134"/>
    </font>
    <font>
      <sz val="14"/>
      <color rgb="FF000000"/>
      <name val="Times New Roman"/>
      <charset val="134"/>
    </font>
    <font>
      <sz val="14"/>
      <color theme="1"/>
      <name val="Times New Roman Regular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7" fontId="4" fillId="7" borderId="0" xfId="0" applyNumberFormat="1" applyFont="1" applyFill="1"/>
    <xf numFmtId="0" fontId="4" fillId="0" borderId="0" xfId="0" applyFont="1"/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C40"/>
  <sheetViews>
    <sheetView topLeftCell="P1" workbookViewId="0">
      <selection activeCell="U4" sqref="U4:AB19"/>
    </sheetView>
  </sheetViews>
  <sheetFormatPr defaultColWidth="9" defaultRowHeight="16.8"/>
  <cols>
    <col min="4" max="4" width="10.8571428571429" customWidth="1"/>
    <col min="5" max="5" width="16.5178571428571" customWidth="1"/>
    <col min="6" max="6" width="16.9553571428571" customWidth="1"/>
    <col min="7" max="7" width="15.4642857142857" customWidth="1"/>
    <col min="8" max="8" width="16.8214285714286" customWidth="1"/>
    <col min="14" max="14" width="14.8839285714286" customWidth="1"/>
    <col min="15" max="15" width="16.3660714285714" customWidth="1"/>
    <col min="16" max="16" width="17.8482142857143" customWidth="1"/>
    <col min="17" max="17" width="15.625" customWidth="1"/>
    <col min="18" max="18" width="17.1071428571429" customWidth="1"/>
    <col min="24" max="24" width="13.3928571428571" customWidth="1"/>
    <col min="25" max="25" width="15.625" customWidth="1"/>
    <col min="26" max="26" width="17.4107142857143" customWidth="1"/>
    <col min="27" max="27" width="15.4732142857143" customWidth="1"/>
    <col min="28" max="28" width="16.9642857142857" customWidth="1"/>
  </cols>
  <sheetData>
    <row r="3" ht="20.4" spans="1:28">
      <c r="A3" s="1" t="s">
        <v>0</v>
      </c>
      <c r="B3" s="1" t="s">
        <v>1</v>
      </c>
      <c r="C3" s="1" t="s">
        <v>2</v>
      </c>
      <c r="D3" s="1" t="s">
        <v>3</v>
      </c>
      <c r="E3" s="3" t="s">
        <v>4</v>
      </c>
      <c r="F3" s="1" t="s">
        <v>5</v>
      </c>
      <c r="G3" s="4" t="s">
        <v>6</v>
      </c>
      <c r="H3" s="5" t="s">
        <v>7</v>
      </c>
      <c r="I3" s="20"/>
      <c r="J3" s="20"/>
      <c r="K3" s="1" t="s">
        <v>0</v>
      </c>
      <c r="L3" s="1" t="s">
        <v>1</v>
      </c>
      <c r="M3" s="1" t="s">
        <v>2</v>
      </c>
      <c r="N3" s="1" t="s">
        <v>3</v>
      </c>
      <c r="O3" s="3" t="s">
        <v>4</v>
      </c>
      <c r="P3" s="1" t="s">
        <v>5</v>
      </c>
      <c r="Q3" s="4" t="s">
        <v>6</v>
      </c>
      <c r="R3" s="5" t="s">
        <v>7</v>
      </c>
      <c r="U3" s="1" t="s">
        <v>0</v>
      </c>
      <c r="V3" s="1" t="s">
        <v>1</v>
      </c>
      <c r="W3" s="1" t="s">
        <v>2</v>
      </c>
      <c r="X3" s="1" t="s">
        <v>3</v>
      </c>
      <c r="Y3" s="3" t="s">
        <v>4</v>
      </c>
      <c r="Z3" s="1" t="s">
        <v>5</v>
      </c>
      <c r="AA3" s="4" t="s">
        <v>6</v>
      </c>
      <c r="AB3" s="5" t="s">
        <v>7</v>
      </c>
    </row>
    <row r="4" ht="20.4" spans="1:28">
      <c r="A4" s="1">
        <v>2688</v>
      </c>
      <c r="B4" s="1">
        <v>77440</v>
      </c>
      <c r="C4" s="1">
        <v>1920</v>
      </c>
      <c r="D4" s="1">
        <v>3539</v>
      </c>
      <c r="E4" s="6">
        <v>49.5</v>
      </c>
      <c r="F4" s="1">
        <v>5059</v>
      </c>
      <c r="G4" s="7">
        <v>70.8</v>
      </c>
      <c r="H4" s="5">
        <v>21.3</v>
      </c>
      <c r="I4" s="20"/>
      <c r="J4" s="20"/>
      <c r="K4" s="1">
        <v>3456</v>
      </c>
      <c r="L4" s="1">
        <v>83584</v>
      </c>
      <c r="M4" s="1">
        <v>1920</v>
      </c>
      <c r="N4" s="1">
        <v>4573</v>
      </c>
      <c r="O4" s="6">
        <v>64</v>
      </c>
      <c r="P4" s="1">
        <v>5920</v>
      </c>
      <c r="Q4" s="7">
        <v>82.8</v>
      </c>
      <c r="R4" s="5">
        <v>18.8</v>
      </c>
      <c r="U4" s="1">
        <v>13440</v>
      </c>
      <c r="V4" s="1">
        <v>28288</v>
      </c>
      <c r="W4" s="1">
        <v>1920</v>
      </c>
      <c r="X4" s="1">
        <v>5532</v>
      </c>
      <c r="Y4" s="6">
        <v>77.4</v>
      </c>
      <c r="Z4" s="1">
        <v>5972</v>
      </c>
      <c r="AA4" s="7">
        <v>83.6</v>
      </c>
      <c r="AB4" s="5">
        <v>6.1</v>
      </c>
    </row>
    <row r="5" ht="20.4" spans="1:28">
      <c r="A5" s="1">
        <v>2688</v>
      </c>
      <c r="B5" s="1">
        <v>83200</v>
      </c>
      <c r="C5" s="1">
        <v>1920</v>
      </c>
      <c r="D5" s="1">
        <v>3640</v>
      </c>
      <c r="E5" s="6">
        <v>50.9</v>
      </c>
      <c r="F5" s="1">
        <v>5082</v>
      </c>
      <c r="G5" s="7">
        <v>71.1</v>
      </c>
      <c r="H5" s="5">
        <v>20.2</v>
      </c>
      <c r="I5" s="20"/>
      <c r="J5" s="20"/>
      <c r="K5" s="1">
        <v>3456</v>
      </c>
      <c r="L5" s="1">
        <v>77440</v>
      </c>
      <c r="M5" s="1">
        <v>1920</v>
      </c>
      <c r="N5" s="1">
        <v>4537</v>
      </c>
      <c r="O5" s="6">
        <v>63.5</v>
      </c>
      <c r="P5" s="1">
        <v>5812</v>
      </c>
      <c r="Q5" s="7">
        <v>81.3</v>
      </c>
      <c r="R5" s="5">
        <v>17.8</v>
      </c>
      <c r="U5" s="1">
        <v>13440</v>
      </c>
      <c r="V5" s="1">
        <v>25216</v>
      </c>
      <c r="W5" s="1">
        <v>1920</v>
      </c>
      <c r="X5" s="1">
        <v>5520</v>
      </c>
      <c r="Y5" s="6">
        <v>77.2</v>
      </c>
      <c r="Z5" s="1">
        <v>5964</v>
      </c>
      <c r="AA5" s="7">
        <v>83.5</v>
      </c>
      <c r="AB5" s="5">
        <v>6.2</v>
      </c>
    </row>
    <row r="6" ht="20.4" spans="1:28">
      <c r="A6" s="1">
        <v>2688</v>
      </c>
      <c r="B6" s="1">
        <v>74368</v>
      </c>
      <c r="C6" s="1">
        <v>1920</v>
      </c>
      <c r="D6" s="1">
        <v>3537</v>
      </c>
      <c r="E6" s="6">
        <v>49.5</v>
      </c>
      <c r="F6" s="1">
        <v>4930</v>
      </c>
      <c r="G6" s="7">
        <v>69.2</v>
      </c>
      <c r="H6" s="5">
        <v>19.7</v>
      </c>
      <c r="I6" s="20"/>
      <c r="J6" s="20"/>
      <c r="K6" s="1">
        <v>3456</v>
      </c>
      <c r="L6" s="1">
        <v>78208</v>
      </c>
      <c r="M6" s="1">
        <v>1920</v>
      </c>
      <c r="N6" s="1">
        <v>4539</v>
      </c>
      <c r="O6" s="6">
        <v>63.5</v>
      </c>
      <c r="P6" s="1">
        <v>5906</v>
      </c>
      <c r="Q6" s="7">
        <v>82.6</v>
      </c>
      <c r="R6" s="5">
        <v>19.1</v>
      </c>
      <c r="U6" s="1">
        <v>13440</v>
      </c>
      <c r="V6" s="1">
        <v>22144</v>
      </c>
      <c r="W6" s="1">
        <v>1920</v>
      </c>
      <c r="X6" s="1">
        <v>5420</v>
      </c>
      <c r="Y6" s="6">
        <v>75.8</v>
      </c>
      <c r="Z6" s="1">
        <v>5954</v>
      </c>
      <c r="AA6" s="7">
        <v>83.3</v>
      </c>
      <c r="AB6" s="5">
        <v>7.5</v>
      </c>
    </row>
    <row r="7" ht="20.4" spans="1:28">
      <c r="A7" s="1">
        <v>2688</v>
      </c>
      <c r="B7" s="1">
        <v>80128</v>
      </c>
      <c r="C7" s="1">
        <v>1920</v>
      </c>
      <c r="D7" s="1">
        <v>3651</v>
      </c>
      <c r="E7" s="6">
        <v>51.1</v>
      </c>
      <c r="F7" s="1">
        <v>5098</v>
      </c>
      <c r="G7" s="7">
        <v>71.3</v>
      </c>
      <c r="H7" s="5">
        <v>20.2</v>
      </c>
      <c r="I7" s="20"/>
      <c r="J7" s="20"/>
      <c r="K7" s="1">
        <v>3456</v>
      </c>
      <c r="L7" s="1">
        <v>80512</v>
      </c>
      <c r="M7" s="1">
        <v>1920</v>
      </c>
      <c r="N7" s="1">
        <v>4538</v>
      </c>
      <c r="O7" s="6">
        <v>63.5</v>
      </c>
      <c r="P7" s="1">
        <v>5799</v>
      </c>
      <c r="Q7" s="7">
        <v>81.1</v>
      </c>
      <c r="R7" s="5">
        <v>17.6</v>
      </c>
      <c r="U7" s="1">
        <v>13440</v>
      </c>
      <c r="V7" s="1">
        <v>17152</v>
      </c>
      <c r="W7" s="1">
        <v>1920</v>
      </c>
      <c r="X7" s="1">
        <v>5434</v>
      </c>
      <c r="Y7" s="6">
        <v>76</v>
      </c>
      <c r="Z7" s="1">
        <v>5885</v>
      </c>
      <c r="AA7" s="7">
        <v>82.3</v>
      </c>
      <c r="AB7" s="5">
        <v>6.3</v>
      </c>
    </row>
    <row r="8" ht="20.4" spans="1:28">
      <c r="A8" s="1">
        <v>2688</v>
      </c>
      <c r="B8" s="1">
        <v>31360</v>
      </c>
      <c r="C8" s="1">
        <v>1920</v>
      </c>
      <c r="D8" s="1">
        <v>3223</v>
      </c>
      <c r="E8" s="6">
        <v>45.1</v>
      </c>
      <c r="F8" s="1">
        <v>4477</v>
      </c>
      <c r="G8" s="7">
        <v>62.2</v>
      </c>
      <c r="H8" s="5">
        <v>17.1</v>
      </c>
      <c r="I8" s="20"/>
      <c r="J8" s="20"/>
      <c r="K8" s="1">
        <v>12672</v>
      </c>
      <c r="L8" s="1">
        <v>62464</v>
      </c>
      <c r="M8" s="1">
        <v>1920</v>
      </c>
      <c r="N8" s="1">
        <v>5778</v>
      </c>
      <c r="O8" s="6">
        <v>80.9</v>
      </c>
      <c r="P8" s="1">
        <v>6134</v>
      </c>
      <c r="Q8" s="7">
        <v>85.8</v>
      </c>
      <c r="R8" s="5">
        <v>4.9</v>
      </c>
      <c r="U8" s="1">
        <v>13440</v>
      </c>
      <c r="V8" s="1">
        <v>14080</v>
      </c>
      <c r="W8" s="1">
        <v>1920</v>
      </c>
      <c r="X8" s="1">
        <v>5188</v>
      </c>
      <c r="Y8" s="6">
        <v>72.6</v>
      </c>
      <c r="Z8" s="1">
        <v>5824</v>
      </c>
      <c r="AA8" s="7">
        <v>81.5</v>
      </c>
      <c r="AB8" s="5">
        <v>8.9</v>
      </c>
    </row>
    <row r="9" ht="20.4" spans="1:28">
      <c r="A9" s="1">
        <v>2688</v>
      </c>
      <c r="B9" s="1">
        <v>47104</v>
      </c>
      <c r="C9" s="1">
        <v>1920</v>
      </c>
      <c r="D9" s="1">
        <v>3614</v>
      </c>
      <c r="E9" s="6">
        <v>50.6</v>
      </c>
      <c r="F9" s="1">
        <v>4705</v>
      </c>
      <c r="G9" s="7">
        <v>65.8</v>
      </c>
      <c r="H9" s="5">
        <v>15.2</v>
      </c>
      <c r="I9" s="20"/>
      <c r="J9" s="20"/>
      <c r="K9" s="1">
        <v>12672</v>
      </c>
      <c r="L9" s="1">
        <v>73984</v>
      </c>
      <c r="M9" s="1">
        <v>1920</v>
      </c>
      <c r="N9" s="1">
        <v>5751</v>
      </c>
      <c r="O9" s="6">
        <v>80.5</v>
      </c>
      <c r="P9" s="1">
        <v>6119</v>
      </c>
      <c r="Q9" s="7">
        <v>85.6</v>
      </c>
      <c r="R9" s="5">
        <v>5.1</v>
      </c>
      <c r="U9" s="1">
        <v>13056</v>
      </c>
      <c r="V9" s="1">
        <v>14080</v>
      </c>
      <c r="W9" s="1">
        <v>1920</v>
      </c>
      <c r="X9" s="1">
        <v>5045</v>
      </c>
      <c r="Y9" s="6">
        <v>70.6</v>
      </c>
      <c r="Z9" s="1">
        <v>5597</v>
      </c>
      <c r="AA9" s="7">
        <v>78.3</v>
      </c>
      <c r="AB9" s="5">
        <v>7.7</v>
      </c>
    </row>
    <row r="10" ht="20.4" spans="1:28">
      <c r="A10" s="1">
        <v>2688</v>
      </c>
      <c r="B10" s="1">
        <v>44416</v>
      </c>
      <c r="C10" s="1">
        <v>1920</v>
      </c>
      <c r="D10" s="1">
        <v>3525</v>
      </c>
      <c r="E10" s="6">
        <v>49.3</v>
      </c>
      <c r="F10" s="1">
        <v>4285</v>
      </c>
      <c r="G10" s="7">
        <v>56</v>
      </c>
      <c r="H10" s="5">
        <v>6.7</v>
      </c>
      <c r="I10" s="20"/>
      <c r="J10" s="20"/>
      <c r="K10" s="1">
        <v>12672</v>
      </c>
      <c r="L10" s="1">
        <v>64000</v>
      </c>
      <c r="M10" s="1">
        <v>1920</v>
      </c>
      <c r="N10" s="1">
        <v>5767</v>
      </c>
      <c r="O10" s="6">
        <v>80.7</v>
      </c>
      <c r="P10" s="1">
        <v>6102</v>
      </c>
      <c r="Q10" s="7">
        <v>85.4</v>
      </c>
      <c r="R10" s="5">
        <v>4.7</v>
      </c>
      <c r="U10" s="1">
        <v>13056</v>
      </c>
      <c r="V10" s="1">
        <v>17152</v>
      </c>
      <c r="W10" s="1">
        <v>1920</v>
      </c>
      <c r="X10" s="1">
        <v>5232</v>
      </c>
      <c r="Y10" s="6">
        <v>73.2</v>
      </c>
      <c r="Z10" s="1">
        <v>5706</v>
      </c>
      <c r="AA10" s="7">
        <v>79.8</v>
      </c>
      <c r="AB10" s="5">
        <v>6.6</v>
      </c>
    </row>
    <row r="11" ht="20.4" spans="1:28">
      <c r="A11" s="1">
        <v>2688</v>
      </c>
      <c r="B11" s="1">
        <v>83968</v>
      </c>
      <c r="C11" s="1">
        <v>1920</v>
      </c>
      <c r="D11" s="1">
        <v>3606</v>
      </c>
      <c r="E11" s="6">
        <v>50.4</v>
      </c>
      <c r="F11" s="1">
        <v>5026</v>
      </c>
      <c r="G11" s="7">
        <v>70.3</v>
      </c>
      <c r="H11" s="5">
        <v>19.9</v>
      </c>
      <c r="I11" s="20"/>
      <c r="J11" s="20"/>
      <c r="K11" s="1">
        <v>10368</v>
      </c>
      <c r="L11" s="1">
        <v>77824</v>
      </c>
      <c r="M11" s="1">
        <v>1920</v>
      </c>
      <c r="N11" s="1">
        <v>5622</v>
      </c>
      <c r="O11" s="6">
        <v>78.7</v>
      </c>
      <c r="P11" s="1">
        <v>6108</v>
      </c>
      <c r="Q11" s="7">
        <v>85.5</v>
      </c>
      <c r="R11" s="5">
        <v>6.8</v>
      </c>
      <c r="U11" s="1">
        <v>13056</v>
      </c>
      <c r="V11" s="1">
        <v>28288</v>
      </c>
      <c r="W11" s="1">
        <v>1920</v>
      </c>
      <c r="X11" s="1">
        <v>5380</v>
      </c>
      <c r="Y11" s="6">
        <v>75.3</v>
      </c>
      <c r="Z11" s="1">
        <v>5832</v>
      </c>
      <c r="AA11" s="7">
        <v>81.6</v>
      </c>
      <c r="AB11" s="5">
        <v>6.3</v>
      </c>
    </row>
    <row r="12" ht="20.4" spans="1:28">
      <c r="A12" s="1">
        <v>2688</v>
      </c>
      <c r="B12" s="1">
        <v>82048</v>
      </c>
      <c r="C12" s="1">
        <v>1920</v>
      </c>
      <c r="D12" s="1">
        <v>3640</v>
      </c>
      <c r="E12" s="6">
        <v>50.9</v>
      </c>
      <c r="F12" s="1">
        <v>5018</v>
      </c>
      <c r="G12" s="7">
        <v>70.2</v>
      </c>
      <c r="H12" s="5">
        <v>19.3</v>
      </c>
      <c r="I12" s="20"/>
      <c r="J12" s="20"/>
      <c r="K12" s="1">
        <v>10368</v>
      </c>
      <c r="L12" s="1">
        <v>75904</v>
      </c>
      <c r="M12" s="1">
        <v>1920</v>
      </c>
      <c r="N12" s="1">
        <v>5658</v>
      </c>
      <c r="O12" s="6">
        <v>79.2</v>
      </c>
      <c r="P12" s="1">
        <v>6116</v>
      </c>
      <c r="Q12" s="7">
        <v>85.6</v>
      </c>
      <c r="R12" s="5">
        <v>6.4</v>
      </c>
      <c r="U12" s="1">
        <v>13056</v>
      </c>
      <c r="V12" s="1">
        <v>20224</v>
      </c>
      <c r="W12" s="1">
        <v>1920</v>
      </c>
      <c r="X12" s="1">
        <v>5324</v>
      </c>
      <c r="Y12" s="6">
        <v>74.5</v>
      </c>
      <c r="Z12" s="1">
        <v>5770</v>
      </c>
      <c r="AA12" s="7">
        <v>80.7</v>
      </c>
      <c r="AB12" s="5">
        <v>6.2</v>
      </c>
    </row>
    <row r="13" ht="20.4" spans="1:28">
      <c r="A13" s="1">
        <v>2688</v>
      </c>
      <c r="B13" s="1">
        <v>79744</v>
      </c>
      <c r="C13" s="1">
        <v>1920</v>
      </c>
      <c r="D13" s="1">
        <v>3625</v>
      </c>
      <c r="E13" s="6">
        <v>50.7</v>
      </c>
      <c r="F13" s="1">
        <v>4736</v>
      </c>
      <c r="G13" s="7">
        <v>66.3</v>
      </c>
      <c r="H13" s="5">
        <v>15.6</v>
      </c>
      <c r="I13" s="20"/>
      <c r="J13" s="20"/>
      <c r="K13" s="1">
        <v>10368</v>
      </c>
      <c r="L13" s="1">
        <v>80896</v>
      </c>
      <c r="M13" s="1">
        <v>1920</v>
      </c>
      <c r="N13" s="1">
        <v>5676</v>
      </c>
      <c r="O13" s="6">
        <v>79.4</v>
      </c>
      <c r="P13" s="1">
        <v>6114</v>
      </c>
      <c r="Q13" s="7">
        <v>85.6</v>
      </c>
      <c r="R13" s="5">
        <v>6.2</v>
      </c>
      <c r="U13" s="1">
        <v>13056</v>
      </c>
      <c r="V13" s="1">
        <v>25216</v>
      </c>
      <c r="W13" s="1">
        <v>1920</v>
      </c>
      <c r="X13" s="1">
        <v>5374</v>
      </c>
      <c r="Y13" s="6">
        <v>75.2</v>
      </c>
      <c r="Z13" s="1">
        <v>5809</v>
      </c>
      <c r="AA13" s="7">
        <v>81.3</v>
      </c>
      <c r="AB13" s="5">
        <v>6</v>
      </c>
    </row>
    <row r="14" ht="20.4" spans="1:28">
      <c r="A14" s="1">
        <v>2688</v>
      </c>
      <c r="B14" s="1">
        <v>78976</v>
      </c>
      <c r="C14" s="1">
        <v>1920</v>
      </c>
      <c r="D14" s="1">
        <v>3631</v>
      </c>
      <c r="E14" s="6">
        <v>50.8</v>
      </c>
      <c r="F14" s="1">
        <v>4933</v>
      </c>
      <c r="G14" s="7">
        <v>69</v>
      </c>
      <c r="H14" s="5">
        <v>18.2</v>
      </c>
      <c r="I14" s="20"/>
      <c r="J14" s="20"/>
      <c r="K14" s="1">
        <v>8064</v>
      </c>
      <c r="L14" s="1">
        <v>76288</v>
      </c>
      <c r="M14" s="1">
        <v>1920</v>
      </c>
      <c r="N14" s="1">
        <v>5485</v>
      </c>
      <c r="O14" s="6">
        <v>76.8</v>
      </c>
      <c r="P14" s="1">
        <v>6068</v>
      </c>
      <c r="Q14" s="7">
        <v>84.9</v>
      </c>
      <c r="R14" s="5">
        <v>8.1</v>
      </c>
      <c r="U14" s="1">
        <v>12672</v>
      </c>
      <c r="V14" s="1">
        <v>11008</v>
      </c>
      <c r="W14" s="1">
        <v>1920</v>
      </c>
      <c r="X14" s="1">
        <v>4775</v>
      </c>
      <c r="Y14" s="6">
        <v>66.8</v>
      </c>
      <c r="Z14" s="1">
        <v>5455</v>
      </c>
      <c r="AA14" s="7">
        <v>76.3</v>
      </c>
      <c r="AB14" s="5">
        <v>9.5</v>
      </c>
    </row>
    <row r="15" ht="20.4" spans="1:28">
      <c r="A15" s="1">
        <v>2688</v>
      </c>
      <c r="B15" s="1">
        <v>83584</v>
      </c>
      <c r="C15" s="1">
        <v>1920</v>
      </c>
      <c r="D15" s="1">
        <v>3569</v>
      </c>
      <c r="E15" s="6">
        <v>49.9</v>
      </c>
      <c r="F15" s="1">
        <v>4998</v>
      </c>
      <c r="G15" s="7">
        <v>69.9</v>
      </c>
      <c r="H15" s="5">
        <v>20</v>
      </c>
      <c r="I15" s="20"/>
      <c r="J15" s="20"/>
      <c r="K15" s="1">
        <v>8064</v>
      </c>
      <c r="L15" s="1">
        <v>74752</v>
      </c>
      <c r="M15" s="1">
        <v>1920</v>
      </c>
      <c r="N15" s="1">
        <v>5472</v>
      </c>
      <c r="O15" s="6">
        <v>76.6</v>
      </c>
      <c r="P15" s="1">
        <v>6066</v>
      </c>
      <c r="Q15" s="7">
        <v>84.9</v>
      </c>
      <c r="R15" s="5">
        <v>8.3</v>
      </c>
      <c r="U15" s="1">
        <v>12672</v>
      </c>
      <c r="V15" s="1">
        <v>16000</v>
      </c>
      <c r="W15" s="1">
        <v>1920</v>
      </c>
      <c r="X15" s="1">
        <v>4858</v>
      </c>
      <c r="Y15" s="6">
        <v>68</v>
      </c>
      <c r="Z15" s="1">
        <v>5504</v>
      </c>
      <c r="AA15" s="7">
        <v>77</v>
      </c>
      <c r="AB15" s="5">
        <v>9</v>
      </c>
    </row>
    <row r="16" ht="20.4" spans="1:28">
      <c r="A16" s="1">
        <v>2688</v>
      </c>
      <c r="B16" s="1">
        <v>81664</v>
      </c>
      <c r="C16" s="1">
        <v>1920</v>
      </c>
      <c r="D16" s="1">
        <v>3564</v>
      </c>
      <c r="E16" s="6">
        <v>49.9</v>
      </c>
      <c r="F16" s="1">
        <v>5095</v>
      </c>
      <c r="G16" s="7">
        <v>71.3</v>
      </c>
      <c r="H16" s="5">
        <v>21.4</v>
      </c>
      <c r="I16" s="20"/>
      <c r="J16" s="20"/>
      <c r="K16" s="1">
        <v>8064</v>
      </c>
      <c r="L16" s="1">
        <v>62424</v>
      </c>
      <c r="M16" s="1">
        <v>1920</v>
      </c>
      <c r="N16" s="1">
        <v>5482</v>
      </c>
      <c r="O16" s="6">
        <v>76.7</v>
      </c>
      <c r="P16" s="1">
        <v>6071</v>
      </c>
      <c r="Q16" s="7">
        <v>85</v>
      </c>
      <c r="R16" s="5">
        <v>8.3</v>
      </c>
      <c r="U16" s="1">
        <v>12672</v>
      </c>
      <c r="V16" s="1">
        <v>19072</v>
      </c>
      <c r="W16" s="1">
        <v>1920</v>
      </c>
      <c r="X16" s="1">
        <v>4987</v>
      </c>
      <c r="Y16" s="6">
        <v>69.8</v>
      </c>
      <c r="Z16" s="1">
        <v>5575</v>
      </c>
      <c r="AA16" s="7">
        <v>78</v>
      </c>
      <c r="AB16" s="5">
        <v>8.2</v>
      </c>
    </row>
    <row r="17" ht="20.4" spans="1:28">
      <c r="A17" s="1">
        <v>2688</v>
      </c>
      <c r="B17" s="1">
        <v>81280</v>
      </c>
      <c r="C17" s="1">
        <v>1920</v>
      </c>
      <c r="D17" s="1">
        <v>3606</v>
      </c>
      <c r="E17" s="6">
        <v>50.4</v>
      </c>
      <c r="F17" s="1">
        <v>4706</v>
      </c>
      <c r="G17" s="7">
        <v>65.8</v>
      </c>
      <c r="H17" s="5">
        <v>15.4</v>
      </c>
      <c r="I17" s="20"/>
      <c r="J17" s="20"/>
      <c r="K17" s="1">
        <v>3456</v>
      </c>
      <c r="L17" s="1">
        <v>45568</v>
      </c>
      <c r="M17" s="1">
        <v>1920</v>
      </c>
      <c r="N17" s="1">
        <v>4549</v>
      </c>
      <c r="O17" s="6">
        <v>63.6</v>
      </c>
      <c r="P17" s="1">
        <v>5797</v>
      </c>
      <c r="Q17" s="7">
        <v>81.1</v>
      </c>
      <c r="R17" s="5">
        <v>17.5</v>
      </c>
      <c r="U17" s="1">
        <v>12672</v>
      </c>
      <c r="V17" s="1">
        <v>5632</v>
      </c>
      <c r="W17" s="1">
        <v>1920</v>
      </c>
      <c r="X17" s="1">
        <v>4571</v>
      </c>
      <c r="Y17" s="6">
        <v>63.9</v>
      </c>
      <c r="Z17" s="1">
        <v>5130</v>
      </c>
      <c r="AA17" s="7">
        <v>71.8</v>
      </c>
      <c r="AB17" s="5">
        <v>7.8</v>
      </c>
    </row>
    <row r="18" ht="20.4" spans="1:28">
      <c r="A18" s="1">
        <v>2688</v>
      </c>
      <c r="B18" s="1">
        <v>75520</v>
      </c>
      <c r="C18" s="1">
        <v>1920</v>
      </c>
      <c r="D18" s="1">
        <v>3554</v>
      </c>
      <c r="E18" s="6">
        <v>49.7</v>
      </c>
      <c r="F18" s="1">
        <v>5021</v>
      </c>
      <c r="G18" s="7">
        <v>70.3</v>
      </c>
      <c r="H18" s="5">
        <v>20.6</v>
      </c>
      <c r="I18" s="20"/>
      <c r="J18" s="20"/>
      <c r="K18" s="1">
        <v>3456</v>
      </c>
      <c r="L18" s="1">
        <v>45184</v>
      </c>
      <c r="M18" s="1">
        <v>1920</v>
      </c>
      <c r="N18" s="1">
        <v>4561</v>
      </c>
      <c r="O18" s="6">
        <v>63.8</v>
      </c>
      <c r="P18" s="1">
        <v>5812</v>
      </c>
      <c r="Q18" s="7">
        <v>81.3</v>
      </c>
      <c r="R18" s="5">
        <v>17.5</v>
      </c>
      <c r="U18" s="1">
        <v>12672</v>
      </c>
      <c r="V18" s="1">
        <v>14080</v>
      </c>
      <c r="W18" s="1">
        <v>1920</v>
      </c>
      <c r="X18" s="1">
        <v>4982</v>
      </c>
      <c r="Y18" s="6">
        <v>69.7</v>
      </c>
      <c r="Z18" s="1">
        <v>5506</v>
      </c>
      <c r="AA18" s="7">
        <v>77.1</v>
      </c>
      <c r="AB18" s="5">
        <v>7.3</v>
      </c>
    </row>
    <row r="19" ht="20.4" spans="1:28">
      <c r="A19" s="1">
        <v>2688</v>
      </c>
      <c r="B19" s="1">
        <v>77440</v>
      </c>
      <c r="C19" s="1">
        <v>1920</v>
      </c>
      <c r="D19" s="1">
        <v>3539</v>
      </c>
      <c r="E19" s="6">
        <v>49.5</v>
      </c>
      <c r="F19" s="1">
        <v>5059</v>
      </c>
      <c r="G19" s="7">
        <v>70.8</v>
      </c>
      <c r="H19" s="5">
        <v>21.3</v>
      </c>
      <c r="I19" s="20"/>
      <c r="J19" s="20"/>
      <c r="K19" s="1">
        <v>3456</v>
      </c>
      <c r="L19" s="1">
        <v>37888</v>
      </c>
      <c r="M19" s="1">
        <v>1920</v>
      </c>
      <c r="N19" s="1">
        <v>4534</v>
      </c>
      <c r="O19" s="6">
        <v>63.4</v>
      </c>
      <c r="P19" s="1">
        <v>5652</v>
      </c>
      <c r="Q19" s="7">
        <v>79.1</v>
      </c>
      <c r="R19" s="5">
        <v>15.7</v>
      </c>
      <c r="U19" s="1">
        <v>12672</v>
      </c>
      <c r="V19" s="1">
        <v>17152</v>
      </c>
      <c r="W19" s="1">
        <v>1920</v>
      </c>
      <c r="X19" s="1">
        <v>5091</v>
      </c>
      <c r="Y19" s="6">
        <v>71.2</v>
      </c>
      <c r="Z19" s="1">
        <v>5598</v>
      </c>
      <c r="AA19" s="7">
        <v>87.8</v>
      </c>
      <c r="AB19" s="5">
        <v>7</v>
      </c>
    </row>
    <row r="20" spans="1:14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ht="20.4" spans="1:29">
      <c r="A21" s="1">
        <v>2688</v>
      </c>
      <c r="B21" s="1">
        <v>81664</v>
      </c>
      <c r="C21" s="1">
        <v>1920</v>
      </c>
      <c r="D21" s="1">
        <v>3564</v>
      </c>
      <c r="E21" s="6">
        <v>49.9</v>
      </c>
      <c r="F21" s="1">
        <v>5095</v>
      </c>
      <c r="G21" s="7">
        <v>71.3</v>
      </c>
      <c r="H21" s="5">
        <v>21.4</v>
      </c>
      <c r="I21" s="5">
        <v>21.4</v>
      </c>
      <c r="J21" s="20"/>
      <c r="K21" s="1">
        <v>3456</v>
      </c>
      <c r="L21" s="1">
        <v>78208</v>
      </c>
      <c r="M21" s="1">
        <v>1920</v>
      </c>
      <c r="N21" s="1">
        <v>4539</v>
      </c>
      <c r="O21" s="6">
        <v>63.5</v>
      </c>
      <c r="P21" s="1">
        <v>5906</v>
      </c>
      <c r="Q21" s="7">
        <v>82.6</v>
      </c>
      <c r="R21" s="5">
        <v>19.1</v>
      </c>
      <c r="S21" s="5">
        <v>19.1</v>
      </c>
      <c r="U21" s="1">
        <v>12672</v>
      </c>
      <c r="V21" s="1">
        <v>11008</v>
      </c>
      <c r="W21" s="1">
        <v>1920</v>
      </c>
      <c r="X21" s="1">
        <v>4775</v>
      </c>
      <c r="Y21" s="6">
        <v>66.8</v>
      </c>
      <c r="Z21" s="1">
        <v>5455</v>
      </c>
      <c r="AA21" s="7">
        <v>76.3</v>
      </c>
      <c r="AB21" s="5">
        <v>9.5</v>
      </c>
      <c r="AC21" s="5">
        <v>9.5</v>
      </c>
    </row>
    <row r="22" ht="20.4" spans="1:29">
      <c r="A22" s="1">
        <v>2688</v>
      </c>
      <c r="B22" s="1">
        <v>77440</v>
      </c>
      <c r="C22" s="1">
        <v>1920</v>
      </c>
      <c r="D22" s="1">
        <v>3539</v>
      </c>
      <c r="E22" s="6">
        <v>49.5</v>
      </c>
      <c r="F22" s="1">
        <v>5059</v>
      </c>
      <c r="G22" s="7">
        <v>70.8</v>
      </c>
      <c r="H22" s="5">
        <v>21.3</v>
      </c>
      <c r="I22" s="5">
        <v>21.3</v>
      </c>
      <c r="J22" s="20"/>
      <c r="K22" s="1">
        <v>3456</v>
      </c>
      <c r="L22" s="1">
        <v>83584</v>
      </c>
      <c r="M22" s="1">
        <v>1920</v>
      </c>
      <c r="N22" s="1">
        <v>4573</v>
      </c>
      <c r="O22" s="6">
        <v>64</v>
      </c>
      <c r="P22" s="1">
        <v>5920</v>
      </c>
      <c r="Q22" s="7">
        <v>82.8</v>
      </c>
      <c r="R22" s="5">
        <v>18.8</v>
      </c>
      <c r="S22" s="5">
        <v>18.8</v>
      </c>
      <c r="U22" s="1">
        <v>12672</v>
      </c>
      <c r="V22" s="1">
        <v>16000</v>
      </c>
      <c r="W22" s="1">
        <v>1920</v>
      </c>
      <c r="X22" s="1">
        <v>4858</v>
      </c>
      <c r="Y22" s="6">
        <v>68</v>
      </c>
      <c r="Z22" s="1">
        <v>5504</v>
      </c>
      <c r="AA22" s="7">
        <v>77</v>
      </c>
      <c r="AB22" s="5">
        <v>9</v>
      </c>
      <c r="AC22" s="5">
        <v>9</v>
      </c>
    </row>
    <row r="23" ht="20.4" spans="1:29">
      <c r="A23" s="1">
        <v>2688</v>
      </c>
      <c r="B23" s="1">
        <v>75520</v>
      </c>
      <c r="C23" s="1">
        <v>1920</v>
      </c>
      <c r="D23" s="1">
        <v>3554</v>
      </c>
      <c r="E23" s="6">
        <v>49.7</v>
      </c>
      <c r="F23" s="1">
        <v>5021</v>
      </c>
      <c r="G23" s="7">
        <v>70.3</v>
      </c>
      <c r="H23" s="5">
        <v>20.6</v>
      </c>
      <c r="I23" s="5">
        <v>21.3</v>
      </c>
      <c r="J23" s="20"/>
      <c r="K23" s="1">
        <v>3456</v>
      </c>
      <c r="L23" s="1">
        <v>77440</v>
      </c>
      <c r="M23" s="1">
        <v>1920</v>
      </c>
      <c r="N23" s="1">
        <v>4537</v>
      </c>
      <c r="O23" s="6">
        <v>63.5</v>
      </c>
      <c r="P23" s="1">
        <v>5812</v>
      </c>
      <c r="Q23" s="7">
        <v>81.3</v>
      </c>
      <c r="R23" s="5">
        <v>17.8</v>
      </c>
      <c r="S23" s="5">
        <v>17.8</v>
      </c>
      <c r="U23" s="1">
        <v>12672</v>
      </c>
      <c r="V23" s="1">
        <v>5632</v>
      </c>
      <c r="W23" s="1">
        <v>1920</v>
      </c>
      <c r="X23" s="1">
        <v>4571</v>
      </c>
      <c r="Y23" s="6">
        <v>63.9</v>
      </c>
      <c r="Z23" s="1">
        <v>5130</v>
      </c>
      <c r="AA23" s="7">
        <v>71.8</v>
      </c>
      <c r="AB23" s="5">
        <v>7.8</v>
      </c>
      <c r="AC23" s="5">
        <v>8.9</v>
      </c>
    </row>
    <row r="24" ht="20.4" spans="1:29">
      <c r="A24" s="1">
        <v>2688</v>
      </c>
      <c r="B24" s="1">
        <v>81280</v>
      </c>
      <c r="C24" s="1">
        <v>1920</v>
      </c>
      <c r="D24" s="1">
        <v>3606</v>
      </c>
      <c r="E24" s="6">
        <v>50.4</v>
      </c>
      <c r="F24" s="1">
        <v>4706</v>
      </c>
      <c r="G24" s="7">
        <v>65.8</v>
      </c>
      <c r="H24" s="5">
        <v>15.4</v>
      </c>
      <c r="I24" s="5">
        <v>20.6</v>
      </c>
      <c r="J24" s="20"/>
      <c r="K24" s="1">
        <v>3456</v>
      </c>
      <c r="L24" s="1">
        <v>45184</v>
      </c>
      <c r="M24" s="1">
        <v>1920</v>
      </c>
      <c r="N24" s="1">
        <v>4561</v>
      </c>
      <c r="O24" s="6">
        <v>63.8</v>
      </c>
      <c r="P24" s="1">
        <v>5812</v>
      </c>
      <c r="Q24" s="7">
        <v>81.3</v>
      </c>
      <c r="R24" s="5">
        <v>17.5</v>
      </c>
      <c r="S24" s="5">
        <v>17.6</v>
      </c>
      <c r="U24" s="1">
        <v>13056</v>
      </c>
      <c r="V24" s="1">
        <v>14080</v>
      </c>
      <c r="W24" s="1">
        <v>1920</v>
      </c>
      <c r="X24" s="1">
        <v>5045</v>
      </c>
      <c r="Y24" s="6">
        <v>70.6</v>
      </c>
      <c r="Z24" s="1">
        <v>5597</v>
      </c>
      <c r="AA24" s="7">
        <v>78.3</v>
      </c>
      <c r="AB24" s="5">
        <v>7.7</v>
      </c>
      <c r="AC24" s="5">
        <v>8.2</v>
      </c>
    </row>
    <row r="25" ht="20.4" spans="1:29">
      <c r="A25" s="1">
        <v>2688</v>
      </c>
      <c r="B25" s="1">
        <v>83200</v>
      </c>
      <c r="C25" s="1">
        <v>1920</v>
      </c>
      <c r="D25" s="1">
        <v>3640</v>
      </c>
      <c r="E25" s="6">
        <v>50.9</v>
      </c>
      <c r="F25" s="1">
        <v>5082</v>
      </c>
      <c r="G25" s="7">
        <v>71.1</v>
      </c>
      <c r="H25" s="5">
        <v>20.2</v>
      </c>
      <c r="I25" s="5">
        <v>20.2</v>
      </c>
      <c r="J25" s="20"/>
      <c r="K25" s="1">
        <v>3456</v>
      </c>
      <c r="L25" s="1">
        <v>37888</v>
      </c>
      <c r="M25" s="1">
        <v>1920</v>
      </c>
      <c r="N25" s="1">
        <v>4534</v>
      </c>
      <c r="O25" s="6">
        <v>63.4</v>
      </c>
      <c r="P25" s="1">
        <v>5652</v>
      </c>
      <c r="Q25" s="7">
        <v>79.1</v>
      </c>
      <c r="R25" s="5">
        <v>15.7</v>
      </c>
      <c r="S25" s="5">
        <v>17.5</v>
      </c>
      <c r="U25" s="1">
        <v>13056</v>
      </c>
      <c r="V25" s="1">
        <v>28288</v>
      </c>
      <c r="W25" s="1">
        <v>1920</v>
      </c>
      <c r="X25" s="1">
        <v>5380</v>
      </c>
      <c r="Y25" s="6">
        <v>75.3</v>
      </c>
      <c r="Z25" s="1">
        <v>5832</v>
      </c>
      <c r="AA25" s="7">
        <v>81.6</v>
      </c>
      <c r="AB25" s="5">
        <v>6.3</v>
      </c>
      <c r="AC25" s="5">
        <v>7.8</v>
      </c>
    </row>
    <row r="26" ht="20.4" spans="1:29">
      <c r="A26" s="1">
        <v>2688</v>
      </c>
      <c r="B26" s="1">
        <v>31360</v>
      </c>
      <c r="C26" s="1">
        <v>1920</v>
      </c>
      <c r="D26" s="1">
        <v>3223</v>
      </c>
      <c r="E26" s="6">
        <v>45.1</v>
      </c>
      <c r="F26" s="1">
        <v>4477</v>
      </c>
      <c r="G26" s="7">
        <v>62.2</v>
      </c>
      <c r="H26" s="5">
        <v>17.1</v>
      </c>
      <c r="I26" s="5">
        <v>20.2</v>
      </c>
      <c r="J26" s="20"/>
      <c r="K26" s="1">
        <v>8064</v>
      </c>
      <c r="L26" s="1">
        <v>74752</v>
      </c>
      <c r="M26" s="1">
        <v>1920</v>
      </c>
      <c r="N26" s="1">
        <v>5472</v>
      </c>
      <c r="O26" s="6">
        <v>76.6</v>
      </c>
      <c r="P26" s="1">
        <v>6066</v>
      </c>
      <c r="Q26" s="7">
        <v>84.9</v>
      </c>
      <c r="R26" s="5">
        <v>8.3</v>
      </c>
      <c r="S26" s="5">
        <v>17.5</v>
      </c>
      <c r="U26" s="1">
        <v>13440</v>
      </c>
      <c r="V26" s="1">
        <v>14080</v>
      </c>
      <c r="W26" s="1">
        <v>1920</v>
      </c>
      <c r="X26" s="1">
        <v>5188</v>
      </c>
      <c r="Y26" s="6">
        <v>72.6</v>
      </c>
      <c r="Z26" s="1">
        <v>5824</v>
      </c>
      <c r="AA26" s="7">
        <v>81.5</v>
      </c>
      <c r="AB26" s="5">
        <v>8.9</v>
      </c>
      <c r="AC26" s="5">
        <v>7.7</v>
      </c>
    </row>
    <row r="27" ht="20.4" spans="1:29">
      <c r="A27" s="1">
        <v>2688</v>
      </c>
      <c r="B27" s="1">
        <v>47104</v>
      </c>
      <c r="C27" s="1">
        <v>1920</v>
      </c>
      <c r="D27" s="1">
        <v>3614</v>
      </c>
      <c r="E27" s="6">
        <v>50.6</v>
      </c>
      <c r="F27" s="1">
        <v>4705</v>
      </c>
      <c r="G27" s="7">
        <v>65.8</v>
      </c>
      <c r="H27" s="5">
        <v>15.2</v>
      </c>
      <c r="I27" s="5">
        <v>20</v>
      </c>
      <c r="J27" s="20"/>
      <c r="K27" s="1">
        <v>8064</v>
      </c>
      <c r="L27" s="1">
        <v>62424</v>
      </c>
      <c r="M27" s="1">
        <v>1920</v>
      </c>
      <c r="N27" s="1">
        <v>5482</v>
      </c>
      <c r="O27" s="6">
        <v>76.7</v>
      </c>
      <c r="P27" s="1">
        <v>6071</v>
      </c>
      <c r="Q27" s="7">
        <v>85</v>
      </c>
      <c r="R27" s="5">
        <v>8.3</v>
      </c>
      <c r="S27" s="5">
        <v>15.7</v>
      </c>
      <c r="U27" s="1">
        <v>13440</v>
      </c>
      <c r="V27" s="1">
        <v>22144</v>
      </c>
      <c r="W27" s="1">
        <v>1920</v>
      </c>
      <c r="X27" s="1">
        <v>5420</v>
      </c>
      <c r="Y27" s="6">
        <v>75.8</v>
      </c>
      <c r="Z27" s="1">
        <v>5954</v>
      </c>
      <c r="AA27" s="7">
        <v>83.3</v>
      </c>
      <c r="AB27" s="5">
        <v>7.5</v>
      </c>
      <c r="AC27" s="5">
        <v>7.5</v>
      </c>
    </row>
    <row r="28" ht="20.4" spans="1:29">
      <c r="A28" s="1">
        <v>2688</v>
      </c>
      <c r="B28" s="1">
        <v>44416</v>
      </c>
      <c r="C28" s="1">
        <v>1920</v>
      </c>
      <c r="D28" s="1">
        <v>3525</v>
      </c>
      <c r="E28" s="6">
        <v>49.3</v>
      </c>
      <c r="F28" s="1">
        <v>4285</v>
      </c>
      <c r="G28" s="7">
        <v>56</v>
      </c>
      <c r="H28" s="5">
        <v>6.7</v>
      </c>
      <c r="I28" s="5">
        <v>19.9</v>
      </c>
      <c r="J28" s="20"/>
      <c r="K28" s="1">
        <v>10368</v>
      </c>
      <c r="L28" s="1">
        <v>75904</v>
      </c>
      <c r="M28" s="1">
        <v>1920</v>
      </c>
      <c r="N28" s="1">
        <v>5658</v>
      </c>
      <c r="O28" s="6">
        <v>79.2</v>
      </c>
      <c r="P28" s="1">
        <v>6116</v>
      </c>
      <c r="Q28" s="7">
        <v>85.6</v>
      </c>
      <c r="R28" s="5">
        <v>6.4</v>
      </c>
      <c r="S28" s="5">
        <v>8.3</v>
      </c>
      <c r="AC28" s="5">
        <v>7.3</v>
      </c>
    </row>
    <row r="29" ht="20.4" spans="9:29">
      <c r="I29" s="5">
        <v>19.7</v>
      </c>
      <c r="J29" s="20"/>
      <c r="K29" s="1">
        <v>10368</v>
      </c>
      <c r="L29" s="1">
        <v>80896</v>
      </c>
      <c r="M29" s="1">
        <v>1920</v>
      </c>
      <c r="N29" s="1">
        <v>5676</v>
      </c>
      <c r="O29" s="6">
        <v>79.4</v>
      </c>
      <c r="P29" s="1">
        <v>6114</v>
      </c>
      <c r="Q29" s="7">
        <v>85.6</v>
      </c>
      <c r="R29" s="5">
        <v>6.2</v>
      </c>
      <c r="S29" s="5">
        <v>8.3</v>
      </c>
      <c r="AC29" s="5">
        <v>7</v>
      </c>
    </row>
    <row r="30" ht="20.4" spans="9:29">
      <c r="I30" s="5">
        <v>19.3</v>
      </c>
      <c r="J30" s="20"/>
      <c r="K30" s="1">
        <v>12672</v>
      </c>
      <c r="L30" s="1">
        <v>62464</v>
      </c>
      <c r="M30" s="1">
        <v>1920</v>
      </c>
      <c r="N30" s="1">
        <v>5778</v>
      </c>
      <c r="O30" s="6">
        <v>80.9</v>
      </c>
      <c r="P30" s="1">
        <v>6134</v>
      </c>
      <c r="Q30" s="7">
        <v>85.8</v>
      </c>
      <c r="R30" s="5">
        <v>4.9</v>
      </c>
      <c r="S30" s="5">
        <v>8.1</v>
      </c>
      <c r="AC30" s="5">
        <v>6.6</v>
      </c>
    </row>
    <row r="31" ht="20.4" spans="9:29">
      <c r="I31" s="5">
        <v>18.2</v>
      </c>
      <c r="J31" s="20"/>
      <c r="K31" s="1">
        <v>12672</v>
      </c>
      <c r="L31" s="1">
        <v>73984</v>
      </c>
      <c r="M31" s="1">
        <v>1920</v>
      </c>
      <c r="N31" s="1">
        <v>5751</v>
      </c>
      <c r="O31" s="6">
        <v>80.5</v>
      </c>
      <c r="P31" s="1">
        <v>6119</v>
      </c>
      <c r="Q31" s="7">
        <v>85.6</v>
      </c>
      <c r="R31" s="5">
        <v>5.1</v>
      </c>
      <c r="S31" s="5">
        <v>6.8</v>
      </c>
      <c r="AC31" s="5">
        <v>6.3</v>
      </c>
    </row>
    <row r="32" ht="20.4" spans="9:29">
      <c r="I32" s="5">
        <v>17.1</v>
      </c>
      <c r="J32" s="20"/>
      <c r="K32" s="20"/>
      <c r="L32" s="20"/>
      <c r="M32" s="20"/>
      <c r="N32" s="20"/>
      <c r="O32" s="20"/>
      <c r="P32" s="20"/>
      <c r="Q32" s="20"/>
      <c r="R32" s="20"/>
      <c r="S32" s="5">
        <v>6.4</v>
      </c>
      <c r="AC32" s="5">
        <v>6.3</v>
      </c>
    </row>
    <row r="33" ht="20.4" spans="9:29">
      <c r="I33" s="5">
        <v>15.6</v>
      </c>
      <c r="J33" s="20"/>
      <c r="K33" s="20"/>
      <c r="L33" s="20"/>
      <c r="M33" s="20"/>
      <c r="N33" s="20"/>
      <c r="O33" s="20"/>
      <c r="P33" s="20"/>
      <c r="Q33" s="20"/>
      <c r="R33" s="20"/>
      <c r="S33" s="5">
        <v>6.2</v>
      </c>
      <c r="AC33" s="5">
        <v>6.2</v>
      </c>
    </row>
    <row r="34" ht="20.4" spans="9:29">
      <c r="I34" s="5">
        <v>15.4</v>
      </c>
      <c r="J34" s="20"/>
      <c r="K34" s="20"/>
      <c r="L34" s="20"/>
      <c r="M34" s="20"/>
      <c r="N34" s="20"/>
      <c r="O34" s="20"/>
      <c r="P34" s="20"/>
      <c r="Q34" s="20"/>
      <c r="R34" s="20"/>
      <c r="S34" s="5">
        <v>5.1</v>
      </c>
      <c r="AC34" s="5">
        <v>6.2</v>
      </c>
    </row>
    <row r="35" ht="20.4" spans="9:29">
      <c r="I35" s="5">
        <v>15.2</v>
      </c>
      <c r="J35" s="20"/>
      <c r="K35" s="20"/>
      <c r="L35" s="20"/>
      <c r="M35" s="20"/>
      <c r="N35" s="20"/>
      <c r="O35" s="20"/>
      <c r="P35" s="20"/>
      <c r="Q35" s="20"/>
      <c r="R35" s="20"/>
      <c r="S35" s="5">
        <v>4.9</v>
      </c>
      <c r="AC35" s="5">
        <v>6.1</v>
      </c>
    </row>
    <row r="36" ht="20.4" spans="9:29">
      <c r="I36" s="5">
        <v>6.7</v>
      </c>
      <c r="J36" s="20"/>
      <c r="K36" s="20"/>
      <c r="L36" s="20"/>
      <c r="M36" s="20"/>
      <c r="N36" s="20"/>
      <c r="O36" s="20"/>
      <c r="P36" s="20"/>
      <c r="Q36" s="20"/>
      <c r="R36" s="20"/>
      <c r="S36" s="5">
        <v>4.7</v>
      </c>
      <c r="AC36" s="5">
        <v>6</v>
      </c>
    </row>
    <row r="37" spans="9:18"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9:18"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9:18"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spans="9:18">
      <c r="I40" s="20"/>
      <c r="J40" s="20"/>
      <c r="K40" s="20"/>
      <c r="L40" s="20"/>
      <c r="M40" s="20"/>
      <c r="N40" s="20"/>
      <c r="O40" s="20"/>
      <c r="P40" s="20"/>
      <c r="Q40" s="20"/>
      <c r="R40" s="20"/>
    </row>
  </sheetData>
  <sortState ref="AC21:AC36">
    <sortCondition ref="AC21:AC36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41"/>
  <sheetViews>
    <sheetView zoomScale="82" zoomScaleNormal="82" topLeftCell="E1" workbookViewId="0">
      <selection activeCell="K15" sqref="K15"/>
    </sheetView>
  </sheetViews>
  <sheetFormatPr defaultColWidth="9.14285714285714" defaultRowHeight="16.8"/>
  <cols>
    <col min="5" max="5" width="12.6428571428571" customWidth="1"/>
    <col min="6" max="6" width="15.3214285714286" customWidth="1"/>
    <col min="7" max="7" width="17.8482142857143" customWidth="1"/>
    <col min="8" max="8" width="15.9196428571429" customWidth="1"/>
    <col min="9" max="9" width="16.3571428571429" customWidth="1"/>
    <col min="15" max="15" width="19.7857142857143" customWidth="1"/>
    <col min="16" max="16" width="17.2589285714286" customWidth="1"/>
    <col min="17" max="17" width="18" customWidth="1"/>
    <col min="18" max="18" width="16.0625" customWidth="1"/>
    <col min="19" max="19" width="15.9196428571429" customWidth="1"/>
    <col min="20" max="20" width="13.9732142857143" customWidth="1"/>
    <col min="22" max="22" width="12.7857142857143"/>
  </cols>
  <sheetData>
    <row r="2" ht="20.4" spans="2:20">
      <c r="B2" s="12" t="s">
        <v>0</v>
      </c>
      <c r="C2" s="12" t="s">
        <v>1</v>
      </c>
      <c r="D2" s="12" t="s">
        <v>2</v>
      </c>
      <c r="E2" s="12" t="s">
        <v>3</v>
      </c>
      <c r="F2" s="13" t="s">
        <v>4</v>
      </c>
      <c r="G2" s="12" t="s">
        <v>5</v>
      </c>
      <c r="H2" s="14" t="s">
        <v>6</v>
      </c>
      <c r="I2" s="15" t="s">
        <v>7</v>
      </c>
      <c r="L2" s="12" t="s">
        <v>0</v>
      </c>
      <c r="M2" s="12" t="s">
        <v>1</v>
      </c>
      <c r="N2" s="12" t="s">
        <v>2</v>
      </c>
      <c r="O2" s="12" t="s">
        <v>3</v>
      </c>
      <c r="P2" s="13" t="s">
        <v>4</v>
      </c>
      <c r="Q2" s="12" t="s">
        <v>5</v>
      </c>
      <c r="R2" s="14" t="s">
        <v>6</v>
      </c>
      <c r="S2" s="15" t="s">
        <v>7</v>
      </c>
      <c r="T2" s="17" t="s">
        <v>8</v>
      </c>
    </row>
    <row r="3" ht="20.4" spans="2:20">
      <c r="B3" s="12">
        <v>384</v>
      </c>
      <c r="C3" s="12">
        <v>83968</v>
      </c>
      <c r="D3" s="12">
        <v>384</v>
      </c>
      <c r="E3" s="12">
        <v>908</v>
      </c>
      <c r="F3" s="13">
        <v>12.7</v>
      </c>
      <c r="G3" s="12">
        <v>1613</v>
      </c>
      <c r="H3" s="14">
        <v>22.5</v>
      </c>
      <c r="I3" s="15">
        <v>9.8</v>
      </c>
      <c r="L3" s="12">
        <v>384</v>
      </c>
      <c r="M3" s="12">
        <v>83584</v>
      </c>
      <c r="N3" s="12">
        <v>384</v>
      </c>
      <c r="O3" s="12">
        <v>908</v>
      </c>
      <c r="P3" s="13">
        <v>12.7</v>
      </c>
      <c r="Q3" s="12">
        <v>1913</v>
      </c>
      <c r="R3" s="14">
        <f>Q3/(1.55*8*8*2*36)*100</f>
        <v>26.7837141577061</v>
      </c>
      <c r="S3" s="16">
        <f>R3-P3</f>
        <v>14.0837141577061</v>
      </c>
      <c r="T3" s="18">
        <f>Q3/O3</f>
        <v>2.1068281938326</v>
      </c>
    </row>
    <row r="4" ht="20.4" spans="2:20">
      <c r="B4" s="12">
        <v>384</v>
      </c>
      <c r="C4" s="12">
        <v>83584</v>
      </c>
      <c r="D4" s="12">
        <v>384</v>
      </c>
      <c r="E4" s="12">
        <v>910</v>
      </c>
      <c r="F4" s="13">
        <v>12.7</v>
      </c>
      <c r="G4" s="12">
        <v>1618</v>
      </c>
      <c r="H4" s="14">
        <v>22.6</v>
      </c>
      <c r="I4" s="15">
        <v>9.9</v>
      </c>
      <c r="L4" s="12">
        <v>384</v>
      </c>
      <c r="M4" s="12">
        <v>83200</v>
      </c>
      <c r="N4" s="12">
        <v>384</v>
      </c>
      <c r="O4" s="12">
        <v>910</v>
      </c>
      <c r="P4" s="13">
        <v>12.7</v>
      </c>
      <c r="Q4" s="12">
        <v>1918</v>
      </c>
      <c r="R4" s="14">
        <f t="shared" ref="R4:R31" si="0">Q4/(1.55*8*8*2*36)*100</f>
        <v>26.8537186379928</v>
      </c>
      <c r="S4" s="16">
        <f t="shared" ref="S4:S31" si="1">R4-P4</f>
        <v>14.1537186379928</v>
      </c>
      <c r="T4" s="18">
        <f t="shared" ref="T4:T31" si="2">Q4/O4</f>
        <v>2.10769230769231</v>
      </c>
    </row>
    <row r="5" ht="20.4" spans="2:20">
      <c r="B5" s="12">
        <v>384</v>
      </c>
      <c r="C5" s="12">
        <v>81280</v>
      </c>
      <c r="D5" s="12">
        <v>384</v>
      </c>
      <c r="E5" s="12">
        <v>911</v>
      </c>
      <c r="F5" s="13">
        <v>12.7</v>
      </c>
      <c r="G5" s="12">
        <v>1611</v>
      </c>
      <c r="H5" s="14">
        <v>22.5</v>
      </c>
      <c r="I5" s="15">
        <v>9.8</v>
      </c>
      <c r="L5" s="12">
        <v>384</v>
      </c>
      <c r="M5" s="12">
        <v>81646</v>
      </c>
      <c r="N5" s="12">
        <v>384</v>
      </c>
      <c r="O5" s="12">
        <v>911</v>
      </c>
      <c r="P5" s="13">
        <v>12.7</v>
      </c>
      <c r="Q5" s="12">
        <v>1911</v>
      </c>
      <c r="R5" s="14">
        <f t="shared" si="0"/>
        <v>26.7557123655914</v>
      </c>
      <c r="S5" s="16">
        <f t="shared" si="1"/>
        <v>14.0557123655914</v>
      </c>
      <c r="T5" s="18">
        <f t="shared" si="2"/>
        <v>2.09769484083425</v>
      </c>
    </row>
    <row r="6" ht="20.4" spans="2:20">
      <c r="B6" s="12">
        <v>384</v>
      </c>
      <c r="C6" s="12">
        <v>79744</v>
      </c>
      <c r="D6" s="12">
        <v>384</v>
      </c>
      <c r="E6" s="12">
        <v>904</v>
      </c>
      <c r="F6" s="13">
        <v>12.6</v>
      </c>
      <c r="G6" s="12">
        <v>1593</v>
      </c>
      <c r="H6" s="14">
        <v>22.3</v>
      </c>
      <c r="I6" s="15">
        <v>9.7</v>
      </c>
      <c r="L6" s="12">
        <v>384</v>
      </c>
      <c r="M6" s="12">
        <v>79744</v>
      </c>
      <c r="N6" s="12">
        <v>384</v>
      </c>
      <c r="O6" s="12">
        <v>904</v>
      </c>
      <c r="P6" s="13">
        <v>12.6</v>
      </c>
      <c r="Q6" s="12">
        <v>1893</v>
      </c>
      <c r="R6" s="14">
        <f t="shared" si="0"/>
        <v>26.5036962365591</v>
      </c>
      <c r="S6" s="16">
        <f t="shared" si="1"/>
        <v>13.9036962365591</v>
      </c>
      <c r="T6" s="18">
        <f t="shared" si="2"/>
        <v>2.09402654867257</v>
      </c>
    </row>
    <row r="7" ht="20.4" spans="2:20">
      <c r="B7" s="12">
        <v>384</v>
      </c>
      <c r="C7" s="12">
        <v>77056</v>
      </c>
      <c r="D7" s="12">
        <v>384</v>
      </c>
      <c r="E7" s="12">
        <v>903</v>
      </c>
      <c r="F7" s="13">
        <v>12.6</v>
      </c>
      <c r="G7" s="12">
        <v>1608</v>
      </c>
      <c r="H7" s="14">
        <v>22.5</v>
      </c>
      <c r="I7" s="15">
        <v>9.9</v>
      </c>
      <c r="L7" s="12">
        <v>384</v>
      </c>
      <c r="M7" s="12">
        <v>77824</v>
      </c>
      <c r="N7" s="12">
        <v>384</v>
      </c>
      <c r="O7" s="12">
        <v>903</v>
      </c>
      <c r="P7" s="13">
        <v>12.6</v>
      </c>
      <c r="Q7" s="12">
        <v>1908</v>
      </c>
      <c r="R7" s="14">
        <f t="shared" si="0"/>
        <v>26.7137096774194</v>
      </c>
      <c r="S7" s="16">
        <f t="shared" si="1"/>
        <v>14.1137096774194</v>
      </c>
      <c r="T7" s="18">
        <f t="shared" si="2"/>
        <v>2.11295681063123</v>
      </c>
    </row>
    <row r="8" ht="20.4" spans="2:20">
      <c r="B8" s="12">
        <v>384</v>
      </c>
      <c r="C8" s="12">
        <v>75520</v>
      </c>
      <c r="D8" s="12">
        <v>384</v>
      </c>
      <c r="E8" s="12">
        <v>900</v>
      </c>
      <c r="F8" s="13">
        <v>12.6</v>
      </c>
      <c r="G8" s="12">
        <v>1597</v>
      </c>
      <c r="H8" s="14">
        <v>22.3</v>
      </c>
      <c r="I8" s="15">
        <v>9.7</v>
      </c>
      <c r="L8" s="12">
        <v>384</v>
      </c>
      <c r="M8" s="12">
        <v>75520</v>
      </c>
      <c r="N8" s="12">
        <v>384</v>
      </c>
      <c r="O8" s="12">
        <v>900</v>
      </c>
      <c r="P8" s="13">
        <v>12.6</v>
      </c>
      <c r="Q8" s="12">
        <v>1897</v>
      </c>
      <c r="R8" s="14">
        <f t="shared" si="0"/>
        <v>26.5596998207885</v>
      </c>
      <c r="S8" s="16">
        <f t="shared" si="1"/>
        <v>13.9596998207885</v>
      </c>
      <c r="T8" s="18">
        <f t="shared" si="2"/>
        <v>2.10777777777778</v>
      </c>
    </row>
    <row r="9" ht="20.4" spans="2:20">
      <c r="B9" s="12">
        <v>384</v>
      </c>
      <c r="C9" s="12">
        <v>73600</v>
      </c>
      <c r="D9" s="12">
        <v>384</v>
      </c>
      <c r="E9" s="12">
        <v>898</v>
      </c>
      <c r="F9" s="13">
        <v>12.5</v>
      </c>
      <c r="G9" s="12">
        <v>1580</v>
      </c>
      <c r="H9" s="14">
        <v>22</v>
      </c>
      <c r="I9" s="15">
        <v>9.5</v>
      </c>
      <c r="L9" s="12">
        <v>384</v>
      </c>
      <c r="M9" s="12">
        <v>73216</v>
      </c>
      <c r="N9" s="12">
        <v>384</v>
      </c>
      <c r="O9" s="12">
        <v>898</v>
      </c>
      <c r="P9" s="13">
        <v>12.5</v>
      </c>
      <c r="Q9" s="12">
        <v>1880</v>
      </c>
      <c r="R9" s="14">
        <f t="shared" si="0"/>
        <v>26.3216845878136</v>
      </c>
      <c r="S9" s="16">
        <f t="shared" si="1"/>
        <v>13.8216845878136</v>
      </c>
      <c r="T9" s="18">
        <f t="shared" si="2"/>
        <v>2.09354120267261</v>
      </c>
    </row>
    <row r="10" ht="20.4" spans="2:20">
      <c r="B10" s="12">
        <v>384</v>
      </c>
      <c r="C10" s="12">
        <v>61696</v>
      </c>
      <c r="D10" s="12">
        <v>384</v>
      </c>
      <c r="E10" s="12">
        <v>892</v>
      </c>
      <c r="F10" s="13">
        <v>12.49</v>
      </c>
      <c r="G10" s="12">
        <v>1541</v>
      </c>
      <c r="H10" s="14">
        <v>21.58</v>
      </c>
      <c r="I10" s="16">
        <v>9.09</v>
      </c>
      <c r="L10" s="12">
        <v>384</v>
      </c>
      <c r="M10" s="12">
        <v>66304</v>
      </c>
      <c r="N10" s="12">
        <v>384</v>
      </c>
      <c r="O10" s="12">
        <v>892</v>
      </c>
      <c r="P10" s="13">
        <v>12.49</v>
      </c>
      <c r="Q10" s="12">
        <v>1841</v>
      </c>
      <c r="R10" s="14">
        <f t="shared" si="0"/>
        <v>25.7756496415771</v>
      </c>
      <c r="S10" s="16">
        <f t="shared" si="1"/>
        <v>13.2856496415771</v>
      </c>
      <c r="T10" s="18">
        <f t="shared" si="2"/>
        <v>2.06390134529148</v>
      </c>
    </row>
    <row r="11" ht="20.4" spans="2:20">
      <c r="B11" s="12">
        <v>384</v>
      </c>
      <c r="C11" s="12">
        <v>61312</v>
      </c>
      <c r="D11" s="12">
        <v>384</v>
      </c>
      <c r="E11" s="12">
        <v>891</v>
      </c>
      <c r="F11" s="13">
        <v>12.47</v>
      </c>
      <c r="G11" s="12">
        <v>1533</v>
      </c>
      <c r="H11" s="14">
        <v>21.46</v>
      </c>
      <c r="I11" s="16">
        <v>8.99</v>
      </c>
      <c r="L11" s="12">
        <v>384</v>
      </c>
      <c r="M11" s="12">
        <v>63232</v>
      </c>
      <c r="N11" s="12">
        <v>384</v>
      </c>
      <c r="O11" s="12">
        <v>891</v>
      </c>
      <c r="P11" s="13">
        <v>12.47</v>
      </c>
      <c r="Q11" s="12">
        <v>1833</v>
      </c>
      <c r="R11" s="14">
        <f t="shared" si="0"/>
        <v>25.6636424731183</v>
      </c>
      <c r="S11" s="16">
        <f t="shared" si="1"/>
        <v>13.1936424731183</v>
      </c>
      <c r="T11" s="18">
        <f t="shared" si="2"/>
        <v>2.05723905723906</v>
      </c>
    </row>
    <row r="12" ht="20.4" spans="2:20">
      <c r="B12" s="12">
        <v>384</v>
      </c>
      <c r="C12" s="12">
        <v>49408</v>
      </c>
      <c r="D12" s="12">
        <v>384</v>
      </c>
      <c r="E12" s="12">
        <v>899</v>
      </c>
      <c r="F12" s="13">
        <v>12.59</v>
      </c>
      <c r="G12" s="12">
        <v>1442</v>
      </c>
      <c r="H12" s="14">
        <v>20.19</v>
      </c>
      <c r="I12" s="16">
        <v>7.6</v>
      </c>
      <c r="L12" s="12">
        <v>384</v>
      </c>
      <c r="M12" s="12">
        <v>60544</v>
      </c>
      <c r="N12" s="12">
        <v>384</v>
      </c>
      <c r="O12" s="12">
        <v>899</v>
      </c>
      <c r="P12" s="13">
        <v>12.59</v>
      </c>
      <c r="Q12" s="12">
        <v>1742</v>
      </c>
      <c r="R12" s="14">
        <f t="shared" si="0"/>
        <v>24.3895609318996</v>
      </c>
      <c r="S12" s="16">
        <f t="shared" si="1"/>
        <v>11.7995609318996</v>
      </c>
      <c r="T12" s="18">
        <f t="shared" si="2"/>
        <v>1.9377085650723</v>
      </c>
    </row>
    <row r="13" ht="20.4" spans="2:20">
      <c r="B13" s="12">
        <v>384</v>
      </c>
      <c r="C13" s="12">
        <v>49024</v>
      </c>
      <c r="D13" s="12">
        <v>384</v>
      </c>
      <c r="E13" s="12">
        <v>920</v>
      </c>
      <c r="F13" s="13">
        <v>12.88</v>
      </c>
      <c r="G13" s="12">
        <v>1423</v>
      </c>
      <c r="H13" s="14">
        <v>19.92</v>
      </c>
      <c r="I13" s="16">
        <v>7.04</v>
      </c>
      <c r="L13" s="12">
        <v>384</v>
      </c>
      <c r="M13" s="12">
        <v>59008</v>
      </c>
      <c r="N13" s="12">
        <v>384</v>
      </c>
      <c r="O13" s="12">
        <v>920</v>
      </c>
      <c r="P13" s="13">
        <v>12.88</v>
      </c>
      <c r="Q13" s="12">
        <v>1723</v>
      </c>
      <c r="R13" s="14">
        <f t="shared" si="0"/>
        <v>24.12354390681</v>
      </c>
      <c r="S13" s="16">
        <f t="shared" si="1"/>
        <v>11.24354390681</v>
      </c>
      <c r="T13" s="18">
        <f t="shared" si="2"/>
        <v>1.87282608695652</v>
      </c>
    </row>
    <row r="14" ht="20.4" spans="2:20">
      <c r="B14" s="12">
        <v>384</v>
      </c>
      <c r="C14" s="12">
        <v>48640</v>
      </c>
      <c r="D14" s="12">
        <v>384</v>
      </c>
      <c r="E14" s="12">
        <v>918</v>
      </c>
      <c r="F14" s="13">
        <v>12.85</v>
      </c>
      <c r="G14" s="12">
        <v>1449</v>
      </c>
      <c r="H14" s="14">
        <v>20.29</v>
      </c>
      <c r="I14" s="16">
        <v>7.43</v>
      </c>
      <c r="L14" s="12">
        <v>384</v>
      </c>
      <c r="M14" s="12">
        <v>56704</v>
      </c>
      <c r="N14" s="12">
        <v>384</v>
      </c>
      <c r="O14" s="12">
        <v>918</v>
      </c>
      <c r="P14" s="13">
        <v>12.85</v>
      </c>
      <c r="Q14" s="12">
        <v>1749</v>
      </c>
      <c r="R14" s="14">
        <f t="shared" si="0"/>
        <v>24.4875672043011</v>
      </c>
      <c r="S14" s="16">
        <f t="shared" si="1"/>
        <v>11.6375672043011</v>
      </c>
      <c r="T14" s="18">
        <f t="shared" si="2"/>
        <v>1.90522875816993</v>
      </c>
    </row>
    <row r="15" ht="20.4" spans="2:20">
      <c r="B15" s="12">
        <v>384</v>
      </c>
      <c r="C15" s="12">
        <v>47104</v>
      </c>
      <c r="D15" s="12">
        <v>384</v>
      </c>
      <c r="E15" s="12">
        <v>914</v>
      </c>
      <c r="F15" s="13">
        <v>12.8</v>
      </c>
      <c r="G15" s="12">
        <v>1441</v>
      </c>
      <c r="H15" s="14">
        <v>20.18</v>
      </c>
      <c r="I15" s="16">
        <v>7.38</v>
      </c>
      <c r="L15" s="12">
        <v>384</v>
      </c>
      <c r="M15" s="12">
        <v>50944</v>
      </c>
      <c r="N15" s="12">
        <v>384</v>
      </c>
      <c r="O15" s="12">
        <v>914</v>
      </c>
      <c r="P15" s="13">
        <v>12.8</v>
      </c>
      <c r="Q15" s="12">
        <v>1741</v>
      </c>
      <c r="R15" s="14">
        <f t="shared" si="0"/>
        <v>24.3755600358423</v>
      </c>
      <c r="S15" s="16">
        <f t="shared" si="1"/>
        <v>11.5755600358423</v>
      </c>
      <c r="T15" s="18">
        <f t="shared" si="2"/>
        <v>1.90481400437637</v>
      </c>
    </row>
    <row r="16" ht="20.4" spans="2:20">
      <c r="B16" s="12">
        <v>384</v>
      </c>
      <c r="C16" s="12">
        <v>35584</v>
      </c>
      <c r="D16" s="12">
        <v>384</v>
      </c>
      <c r="E16" s="12">
        <v>886</v>
      </c>
      <c r="F16" s="13">
        <v>12.4</v>
      </c>
      <c r="G16" s="12">
        <v>1342</v>
      </c>
      <c r="H16" s="14">
        <v>18.79</v>
      </c>
      <c r="I16" s="16">
        <v>6.38</v>
      </c>
      <c r="L16" s="12">
        <v>384</v>
      </c>
      <c r="M16" s="12">
        <v>47872</v>
      </c>
      <c r="N16" s="12">
        <v>384</v>
      </c>
      <c r="O16" s="12">
        <v>886</v>
      </c>
      <c r="P16" s="13">
        <v>12.4</v>
      </c>
      <c r="Q16" s="12">
        <v>1642</v>
      </c>
      <c r="R16" s="14">
        <f t="shared" si="0"/>
        <v>22.9894713261649</v>
      </c>
      <c r="S16" s="16">
        <f t="shared" si="1"/>
        <v>10.5894713261649</v>
      </c>
      <c r="T16" s="18">
        <f t="shared" si="2"/>
        <v>1.85327313769752</v>
      </c>
    </row>
    <row r="17" ht="20.4" spans="2:20">
      <c r="B17" s="12">
        <v>384</v>
      </c>
      <c r="C17" s="12">
        <v>35200</v>
      </c>
      <c r="D17" s="12">
        <v>384</v>
      </c>
      <c r="E17" s="12">
        <v>882</v>
      </c>
      <c r="F17" s="13">
        <v>12.35</v>
      </c>
      <c r="G17" s="12">
        <v>1333</v>
      </c>
      <c r="H17" s="14">
        <v>18.66</v>
      </c>
      <c r="I17" s="16">
        <v>6.31</v>
      </c>
      <c r="L17" s="12">
        <v>384</v>
      </c>
      <c r="M17" s="12">
        <v>44416</v>
      </c>
      <c r="N17" s="12">
        <v>384</v>
      </c>
      <c r="O17" s="12">
        <v>882</v>
      </c>
      <c r="P17" s="13">
        <v>12.35</v>
      </c>
      <c r="Q17" s="12">
        <v>1633</v>
      </c>
      <c r="R17" s="14">
        <f t="shared" si="0"/>
        <v>22.8634632616487</v>
      </c>
      <c r="S17" s="16">
        <f t="shared" si="1"/>
        <v>10.5134632616487</v>
      </c>
      <c r="T17" s="18">
        <f t="shared" si="2"/>
        <v>1.85147392290249</v>
      </c>
    </row>
    <row r="18" ht="20.4" spans="2:20">
      <c r="B18" s="12">
        <v>384</v>
      </c>
      <c r="C18" s="12">
        <v>34816</v>
      </c>
      <c r="D18" s="12">
        <v>384</v>
      </c>
      <c r="E18" s="12">
        <v>879</v>
      </c>
      <c r="F18" s="13">
        <v>12.31</v>
      </c>
      <c r="G18" s="12">
        <v>1315</v>
      </c>
      <c r="H18" s="14">
        <v>18.41</v>
      </c>
      <c r="I18" s="16">
        <v>6.1</v>
      </c>
      <c r="L18" s="12">
        <v>384</v>
      </c>
      <c r="M18" s="12">
        <v>43264</v>
      </c>
      <c r="N18" s="12">
        <v>384</v>
      </c>
      <c r="O18" s="12">
        <v>879</v>
      </c>
      <c r="P18" s="13">
        <v>12.31</v>
      </c>
      <c r="Q18" s="12">
        <v>1615</v>
      </c>
      <c r="R18" s="14">
        <f t="shared" si="0"/>
        <v>22.6114471326165</v>
      </c>
      <c r="S18" s="16">
        <f t="shared" si="1"/>
        <v>10.3014471326165</v>
      </c>
      <c r="T18" s="18">
        <f t="shared" si="2"/>
        <v>1.83731513083049</v>
      </c>
    </row>
    <row r="19" ht="20.4" spans="2:20">
      <c r="B19" s="12">
        <v>384</v>
      </c>
      <c r="C19" s="12">
        <v>34432</v>
      </c>
      <c r="D19" s="12">
        <v>384</v>
      </c>
      <c r="E19" s="12">
        <v>883</v>
      </c>
      <c r="F19" s="13">
        <v>12.36</v>
      </c>
      <c r="G19" s="12">
        <v>1305</v>
      </c>
      <c r="H19" s="14">
        <v>18.27</v>
      </c>
      <c r="I19" s="16">
        <v>5.91</v>
      </c>
      <c r="L19" s="12">
        <v>384</v>
      </c>
      <c r="M19" s="12">
        <v>41344</v>
      </c>
      <c r="N19" s="12">
        <v>384</v>
      </c>
      <c r="O19" s="12">
        <v>880</v>
      </c>
      <c r="P19" s="13">
        <v>12.35</v>
      </c>
      <c r="Q19" s="12">
        <v>1600</v>
      </c>
      <c r="R19" s="14">
        <f t="shared" si="0"/>
        <v>22.4014336917563</v>
      </c>
      <c r="S19" s="16">
        <f t="shared" si="1"/>
        <v>10.0514336917563</v>
      </c>
      <c r="T19" s="18">
        <f t="shared" si="2"/>
        <v>1.81818181818182</v>
      </c>
    </row>
    <row r="20" ht="20.4" spans="2:20">
      <c r="B20" s="12">
        <v>384</v>
      </c>
      <c r="C20" s="12">
        <v>34048</v>
      </c>
      <c r="D20" s="12">
        <v>384</v>
      </c>
      <c r="E20" s="12">
        <v>883</v>
      </c>
      <c r="F20" s="13">
        <v>12.36</v>
      </c>
      <c r="G20" s="12">
        <v>1298</v>
      </c>
      <c r="H20" s="14">
        <v>18.17</v>
      </c>
      <c r="I20" s="16">
        <v>5.81</v>
      </c>
      <c r="L20" s="12">
        <v>384</v>
      </c>
      <c r="M20" s="12">
        <v>39040</v>
      </c>
      <c r="N20" s="12">
        <v>384</v>
      </c>
      <c r="O20" s="12">
        <v>883</v>
      </c>
      <c r="P20" s="13">
        <v>12.36</v>
      </c>
      <c r="Q20" s="12">
        <v>1605</v>
      </c>
      <c r="R20" s="14">
        <f t="shared" si="0"/>
        <v>22.471438172043</v>
      </c>
      <c r="S20" s="16">
        <f t="shared" si="1"/>
        <v>10.111438172043</v>
      </c>
      <c r="T20" s="18">
        <f t="shared" si="2"/>
        <v>1.81766704416761</v>
      </c>
    </row>
    <row r="21" ht="20.4" spans="2:20">
      <c r="B21" s="12">
        <v>384</v>
      </c>
      <c r="C21" s="12">
        <v>33664</v>
      </c>
      <c r="D21" s="12">
        <v>384</v>
      </c>
      <c r="E21" s="12">
        <v>876</v>
      </c>
      <c r="F21" s="13">
        <v>12.26</v>
      </c>
      <c r="G21" s="12">
        <v>1291</v>
      </c>
      <c r="H21" s="14">
        <v>18.08</v>
      </c>
      <c r="I21" s="16">
        <v>5.81</v>
      </c>
      <c r="L21" s="12">
        <v>384</v>
      </c>
      <c r="M21" s="12">
        <v>34432</v>
      </c>
      <c r="N21" s="12">
        <v>384</v>
      </c>
      <c r="O21" s="12">
        <v>876</v>
      </c>
      <c r="P21" s="13">
        <v>12.26</v>
      </c>
      <c r="Q21" s="12">
        <v>1591</v>
      </c>
      <c r="R21" s="14">
        <f>Q21/(1.55*8*8*2*36)*100</f>
        <v>22.2754256272401</v>
      </c>
      <c r="S21" s="16">
        <f>R21-P21</f>
        <v>10.0154256272401</v>
      </c>
      <c r="T21" s="18">
        <f>Q21/O21</f>
        <v>1.8162100456621</v>
      </c>
    </row>
    <row r="22" ht="20.4" spans="2:20">
      <c r="B22" s="12">
        <v>384</v>
      </c>
      <c r="C22" s="12">
        <v>33280</v>
      </c>
      <c r="D22" s="12">
        <v>384</v>
      </c>
      <c r="E22" s="12">
        <v>872</v>
      </c>
      <c r="F22" s="13">
        <v>12.21</v>
      </c>
      <c r="G22" s="12">
        <v>1282</v>
      </c>
      <c r="H22" s="14">
        <v>17.95</v>
      </c>
      <c r="I22" s="16">
        <v>5.74</v>
      </c>
      <c r="L22" s="12">
        <v>384</v>
      </c>
      <c r="M22" s="12">
        <v>32512</v>
      </c>
      <c r="N22" s="12">
        <v>384</v>
      </c>
      <c r="O22" s="12">
        <v>872</v>
      </c>
      <c r="P22" s="13">
        <v>12.21</v>
      </c>
      <c r="Q22" s="12">
        <v>1582</v>
      </c>
      <c r="R22" s="14">
        <f>Q22/(1.55*8*8*2*36)*100</f>
        <v>22.149417562724</v>
      </c>
      <c r="S22" s="16">
        <f>R22-P22</f>
        <v>9.93941756272401</v>
      </c>
      <c r="T22" s="18">
        <f>Q22/O22</f>
        <v>1.81422018348624</v>
      </c>
    </row>
    <row r="23" ht="20.4" spans="2:20">
      <c r="B23" s="12">
        <v>384</v>
      </c>
      <c r="C23" s="12">
        <v>22144</v>
      </c>
      <c r="D23" s="12">
        <v>384</v>
      </c>
      <c r="E23" s="12">
        <v>816</v>
      </c>
      <c r="F23" s="13">
        <v>11.42</v>
      </c>
      <c r="G23" s="12">
        <v>1196</v>
      </c>
      <c r="H23" s="14">
        <v>16.75</v>
      </c>
      <c r="I23" s="16">
        <v>5.32</v>
      </c>
      <c r="L23" s="12">
        <v>384</v>
      </c>
      <c r="M23" s="12">
        <v>29440</v>
      </c>
      <c r="N23" s="12">
        <v>384</v>
      </c>
      <c r="O23" s="12">
        <v>816</v>
      </c>
      <c r="P23" s="13">
        <v>11.42</v>
      </c>
      <c r="Q23" s="12">
        <v>1596</v>
      </c>
      <c r="R23" s="14">
        <f>Q23/(1.55*8*8*2*36)*100</f>
        <v>22.3454301075269</v>
      </c>
      <c r="S23" s="16">
        <f>R23-P23</f>
        <v>10.9254301075269</v>
      </c>
      <c r="T23" s="18">
        <f>Q23/O23</f>
        <v>1.95588235294118</v>
      </c>
    </row>
    <row r="24" ht="20.4" spans="2:20">
      <c r="B24" s="12">
        <v>384</v>
      </c>
      <c r="C24" s="12">
        <v>21376</v>
      </c>
      <c r="D24" s="12">
        <v>384</v>
      </c>
      <c r="E24" s="12">
        <v>807</v>
      </c>
      <c r="F24" s="13">
        <v>11.3</v>
      </c>
      <c r="G24" s="12">
        <v>1186</v>
      </c>
      <c r="H24" s="14">
        <v>16.61</v>
      </c>
      <c r="I24" s="16">
        <v>5.31</v>
      </c>
      <c r="L24" s="12">
        <v>384</v>
      </c>
      <c r="M24" s="12">
        <v>27904</v>
      </c>
      <c r="N24" s="12">
        <v>384</v>
      </c>
      <c r="O24" s="12">
        <v>807</v>
      </c>
      <c r="P24" s="13">
        <v>11.3</v>
      </c>
      <c r="Q24" s="12">
        <v>1586</v>
      </c>
      <c r="R24" s="14">
        <f>Q24/(1.55*8*8*2*36)*100</f>
        <v>22.2054211469534</v>
      </c>
      <c r="S24" s="16">
        <f>R24-P24</f>
        <v>10.9054211469534</v>
      </c>
      <c r="T24" s="18">
        <f>Q24/O24</f>
        <v>1.96530359355638</v>
      </c>
    </row>
    <row r="25" ht="20.4" spans="2:20">
      <c r="B25" s="12">
        <v>384</v>
      </c>
      <c r="C25" s="12">
        <v>20992</v>
      </c>
      <c r="D25" s="12">
        <v>384</v>
      </c>
      <c r="E25" s="12">
        <v>805</v>
      </c>
      <c r="F25" s="13">
        <v>11.27</v>
      </c>
      <c r="G25" s="12">
        <v>1174</v>
      </c>
      <c r="H25" s="14">
        <v>16.44</v>
      </c>
      <c r="I25" s="16">
        <v>5.17</v>
      </c>
      <c r="L25" s="12">
        <v>384</v>
      </c>
      <c r="M25" s="12">
        <v>24064</v>
      </c>
      <c r="N25" s="12">
        <v>384</v>
      </c>
      <c r="O25" s="12">
        <v>805</v>
      </c>
      <c r="P25" s="13">
        <v>11.27</v>
      </c>
      <c r="Q25" s="12">
        <v>1574</v>
      </c>
      <c r="R25" s="14">
        <f>Q25/(1.55*8*8*2*36)*100</f>
        <v>22.0374103942652</v>
      </c>
      <c r="S25" s="16">
        <f>R25-P25</f>
        <v>10.7674103942652</v>
      </c>
      <c r="T25" s="18">
        <f>Q25/O25</f>
        <v>1.95527950310559</v>
      </c>
    </row>
    <row r="26" ht="20.4" spans="2:22">
      <c r="B26" s="12">
        <v>384</v>
      </c>
      <c r="C26" s="12">
        <v>20608</v>
      </c>
      <c r="D26" s="12">
        <v>384</v>
      </c>
      <c r="E26" s="12">
        <v>805</v>
      </c>
      <c r="F26" s="13">
        <v>11.27</v>
      </c>
      <c r="G26" s="12">
        <v>1164</v>
      </c>
      <c r="H26" s="14">
        <v>16.3</v>
      </c>
      <c r="I26" s="16">
        <v>5.03</v>
      </c>
      <c r="L26" s="12">
        <v>384</v>
      </c>
      <c r="M26" s="12">
        <v>22912</v>
      </c>
      <c r="N26" s="12">
        <v>384</v>
      </c>
      <c r="O26" s="12">
        <v>805</v>
      </c>
      <c r="P26" s="13">
        <v>11.27</v>
      </c>
      <c r="Q26" s="12">
        <v>1564</v>
      </c>
      <c r="R26" s="14">
        <f>Q26/(1.55*8*8*2*36)*100</f>
        <v>21.8974014336918</v>
      </c>
      <c r="S26" s="16">
        <f>R26-P26</f>
        <v>10.6274014336918</v>
      </c>
      <c r="T26" s="18">
        <f>Q26/O26</f>
        <v>1.94285714285714</v>
      </c>
      <c r="U26" s="19" t="s">
        <v>9</v>
      </c>
      <c r="V26" s="18">
        <f>SUM(T3:T26)/COUNT(T3:T26)</f>
        <v>1.96207914060865</v>
      </c>
    </row>
    <row r="27" ht="20.4" spans="2:20">
      <c r="B27" s="12">
        <v>384</v>
      </c>
      <c r="C27" s="12">
        <v>7936</v>
      </c>
      <c r="D27" s="12">
        <v>384</v>
      </c>
      <c r="E27" s="12">
        <v>662</v>
      </c>
      <c r="F27" s="13">
        <v>9.27</v>
      </c>
      <c r="G27" s="12">
        <v>828</v>
      </c>
      <c r="H27" s="14">
        <v>11.59</v>
      </c>
      <c r="I27" s="16">
        <v>2.32</v>
      </c>
      <c r="L27" s="12">
        <v>384</v>
      </c>
      <c r="M27" s="12">
        <v>7936</v>
      </c>
      <c r="N27" s="12">
        <v>384</v>
      </c>
      <c r="O27" s="12">
        <v>662</v>
      </c>
      <c r="P27" s="13">
        <v>9.27</v>
      </c>
      <c r="Q27" s="12">
        <v>828</v>
      </c>
      <c r="R27" s="14">
        <f>Q27/(1.55*8*8*2*36)*100</f>
        <v>11.5927419354839</v>
      </c>
      <c r="S27" s="16">
        <f>R27-P27</f>
        <v>2.32274193548387</v>
      </c>
      <c r="T27" s="18">
        <f>Q27/O27</f>
        <v>1.25075528700906</v>
      </c>
    </row>
    <row r="28" ht="20.4" spans="2:20">
      <c r="B28" s="12">
        <v>384</v>
      </c>
      <c r="C28" s="12">
        <v>7552</v>
      </c>
      <c r="D28" s="12">
        <v>384</v>
      </c>
      <c r="E28" s="12">
        <v>658</v>
      </c>
      <c r="F28" s="13">
        <v>9.21</v>
      </c>
      <c r="G28" s="12">
        <v>846</v>
      </c>
      <c r="H28" s="14">
        <v>11.84</v>
      </c>
      <c r="I28" s="16">
        <v>2.63</v>
      </c>
      <c r="L28" s="12">
        <v>384</v>
      </c>
      <c r="M28" s="12">
        <v>7552</v>
      </c>
      <c r="N28" s="12">
        <v>384</v>
      </c>
      <c r="O28" s="12">
        <v>658</v>
      </c>
      <c r="P28" s="13">
        <v>9.21</v>
      </c>
      <c r="Q28" s="12">
        <v>846</v>
      </c>
      <c r="R28" s="14">
        <f>Q28/(1.55*8*8*2*36)*100</f>
        <v>11.8447580645161</v>
      </c>
      <c r="S28" s="16">
        <f>R28-P28</f>
        <v>2.63475806451613</v>
      </c>
      <c r="T28" s="18">
        <f>Q28/O28</f>
        <v>1.28571428571429</v>
      </c>
    </row>
    <row r="29" ht="20.4" spans="2:20">
      <c r="B29" s="12">
        <v>384</v>
      </c>
      <c r="C29" s="12">
        <v>7168</v>
      </c>
      <c r="D29" s="12">
        <v>384</v>
      </c>
      <c r="E29" s="12">
        <v>648</v>
      </c>
      <c r="F29" s="13">
        <v>9.07</v>
      </c>
      <c r="G29" s="12">
        <v>835</v>
      </c>
      <c r="H29" s="14">
        <v>11.69</v>
      </c>
      <c r="I29" s="16">
        <v>2.62</v>
      </c>
      <c r="L29" s="12">
        <v>384</v>
      </c>
      <c r="M29" s="12">
        <v>7168</v>
      </c>
      <c r="N29" s="12">
        <v>384</v>
      </c>
      <c r="O29" s="12">
        <v>648</v>
      </c>
      <c r="P29" s="13">
        <v>9.07</v>
      </c>
      <c r="Q29" s="12">
        <v>835</v>
      </c>
      <c r="R29" s="14">
        <f>Q29/(1.55*8*8*2*36)*100</f>
        <v>11.6907482078853</v>
      </c>
      <c r="S29" s="16">
        <f>R29-P29</f>
        <v>2.6207482078853</v>
      </c>
      <c r="T29" s="18">
        <f>Q29/O29</f>
        <v>1.28858024691358</v>
      </c>
    </row>
    <row r="30" ht="20.4" spans="2:20">
      <c r="B30" s="12">
        <v>384</v>
      </c>
      <c r="C30" s="12">
        <v>6400</v>
      </c>
      <c r="D30" s="12">
        <v>384</v>
      </c>
      <c r="E30" s="12">
        <v>634</v>
      </c>
      <c r="F30" s="13">
        <v>8.88</v>
      </c>
      <c r="G30" s="12">
        <v>803</v>
      </c>
      <c r="H30" s="14">
        <v>11.24</v>
      </c>
      <c r="I30" s="16">
        <v>2.37</v>
      </c>
      <c r="L30" s="12">
        <v>384</v>
      </c>
      <c r="M30" s="12">
        <v>6400</v>
      </c>
      <c r="N30" s="12">
        <v>384</v>
      </c>
      <c r="O30" s="12">
        <v>634</v>
      </c>
      <c r="P30" s="13">
        <v>8.88</v>
      </c>
      <c r="Q30" s="12">
        <v>803</v>
      </c>
      <c r="R30" s="14">
        <f>Q30/(1.55*8*8*2*36)*100</f>
        <v>11.2427195340502</v>
      </c>
      <c r="S30" s="16">
        <f>R30-P30</f>
        <v>2.36271953405018</v>
      </c>
      <c r="T30" s="18">
        <f>Q30/O30</f>
        <v>1.26656151419558</v>
      </c>
    </row>
    <row r="32" ht="20.4" spans="13:15">
      <c r="M32" s="12"/>
      <c r="N32" s="12"/>
      <c r="O32" s="12"/>
    </row>
    <row r="33" ht="20.4" spans="13:15">
      <c r="M33" s="12"/>
      <c r="N33" s="12"/>
      <c r="O33" s="12"/>
    </row>
    <row r="34" ht="20.4" spans="13:15">
      <c r="M34" s="12"/>
      <c r="N34" s="12"/>
      <c r="O34" s="12"/>
    </row>
    <row r="35" ht="20.4" spans="13:15">
      <c r="M35" s="12"/>
      <c r="N35" s="12"/>
      <c r="O35" s="12"/>
    </row>
    <row r="36" ht="20.4" spans="13:15">
      <c r="M36" s="12"/>
      <c r="N36" s="12"/>
      <c r="O36" s="12"/>
    </row>
    <row r="37" ht="20.4" spans="13:15">
      <c r="M37" s="12"/>
      <c r="N37" s="12"/>
      <c r="O37" s="12"/>
    </row>
    <row r="38" ht="20.4" spans="13:15">
      <c r="M38" s="12"/>
      <c r="N38" s="12"/>
      <c r="O38" s="12"/>
    </row>
    <row r="39" ht="20.4" spans="13:15">
      <c r="M39" s="12"/>
      <c r="N39" s="12"/>
      <c r="O39" s="12"/>
    </row>
    <row r="40" ht="20.4" spans="13:15">
      <c r="M40" s="12"/>
      <c r="N40" s="12"/>
      <c r="O40" s="12"/>
    </row>
    <row r="41" ht="20.4" spans="13:15">
      <c r="M41" s="12"/>
      <c r="N41" s="12"/>
      <c r="O41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3"/>
  <sheetViews>
    <sheetView tabSelected="1" topLeftCell="S1" workbookViewId="0">
      <selection activeCell="V13" sqref="V13"/>
    </sheetView>
  </sheetViews>
  <sheetFormatPr defaultColWidth="9.14285714285714" defaultRowHeight="16.8"/>
  <cols>
    <col min="4" max="4" width="23.6607142857143" customWidth="1"/>
    <col min="5" max="5" width="14.2767857142857" customWidth="1"/>
    <col min="6" max="6" width="17.5535714285714" customWidth="1"/>
    <col min="7" max="7" width="20.6785714285714" customWidth="1"/>
    <col min="8" max="8" width="15.6160714285714" customWidth="1"/>
    <col min="9" max="10" width="19.1964285714286" customWidth="1"/>
    <col min="11" max="11" width="13.9821428571429" customWidth="1"/>
    <col min="12" max="12" width="13.6785714285714" customWidth="1"/>
    <col min="13" max="13" width="19.3482142857143" customWidth="1"/>
    <col min="14" max="14" width="13.6785714285714" customWidth="1"/>
    <col min="15" max="16" width="12.1964285714286" customWidth="1"/>
    <col min="17" max="17" width="17.1071428571429" customWidth="1"/>
    <col min="19" max="21" width="19.4910714285714" customWidth="1"/>
    <col min="22" max="23" width="18.8928571428571" customWidth="1"/>
    <col min="24" max="24" width="16.5089285714286" customWidth="1"/>
    <col min="25" max="26" width="16.6607142857143" customWidth="1"/>
    <col min="27" max="27" width="17.4017857142857" customWidth="1"/>
    <col min="29" max="29" width="15.1785714285714" customWidth="1"/>
    <col min="30" max="30" width="11.6071428571429" customWidth="1"/>
    <col min="31" max="31" width="11.4553571428571" customWidth="1"/>
    <col min="32" max="32" width="13.6875" customWidth="1"/>
    <col min="33" max="33" width="14.4285714285714" customWidth="1"/>
    <col min="34" max="34" width="20.0803571428571" customWidth="1"/>
    <col min="35" max="36" width="16.8125" customWidth="1"/>
    <col min="37" max="37" width="18.1517857142857" customWidth="1"/>
  </cols>
  <sheetData>
    <row r="1" spans="18:28">
      <c r="R1" s="2"/>
      <c r="AB1" s="2"/>
    </row>
    <row r="2" ht="21" spans="4:37">
      <c r="D2" s="1" t="s">
        <v>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1" t="s">
        <v>11</v>
      </c>
      <c r="T2" s="1"/>
      <c r="U2" s="1"/>
      <c r="V2" s="1"/>
      <c r="W2" s="1"/>
      <c r="X2" s="1"/>
      <c r="Y2" s="1"/>
      <c r="Z2" s="1"/>
      <c r="AA2" s="1"/>
      <c r="AB2" s="2"/>
      <c r="AC2" s="11" t="s">
        <v>12</v>
      </c>
      <c r="AD2" s="1"/>
      <c r="AE2" s="1"/>
      <c r="AF2" s="1"/>
      <c r="AG2" s="1"/>
      <c r="AH2" s="1"/>
      <c r="AI2" s="1"/>
      <c r="AJ2" s="1"/>
      <c r="AK2" s="1"/>
    </row>
    <row r="3" ht="20.4" spans="1:37">
      <c r="A3" s="1" t="s">
        <v>0</v>
      </c>
      <c r="B3" s="1" t="s">
        <v>1</v>
      </c>
      <c r="C3" s="1" t="s">
        <v>2</v>
      </c>
      <c r="D3" s="1" t="s">
        <v>13</v>
      </c>
      <c r="E3" s="3" t="s">
        <v>14</v>
      </c>
      <c r="F3" s="1" t="s">
        <v>5</v>
      </c>
      <c r="G3" s="4" t="s">
        <v>15</v>
      </c>
      <c r="H3" s="5" t="s">
        <v>7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0"/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17</v>
      </c>
      <c r="Y3" s="1" t="s">
        <v>18</v>
      </c>
      <c r="Z3" s="1" t="s">
        <v>19</v>
      </c>
      <c r="AA3" s="1" t="s">
        <v>20</v>
      </c>
      <c r="AB3" s="2"/>
      <c r="AC3" s="1" t="s">
        <v>21</v>
      </c>
      <c r="AD3" s="1" t="s">
        <v>22</v>
      </c>
      <c r="AE3" s="1" t="s">
        <v>23</v>
      </c>
      <c r="AF3" s="1" t="s">
        <v>24</v>
      </c>
      <c r="AG3" s="1" t="s">
        <v>25</v>
      </c>
      <c r="AH3" s="1" t="s">
        <v>17</v>
      </c>
      <c r="AI3" s="1" t="s">
        <v>18</v>
      </c>
      <c r="AJ3" s="1" t="s">
        <v>19</v>
      </c>
      <c r="AK3" s="1" t="s">
        <v>20</v>
      </c>
    </row>
    <row r="4" ht="20.4" spans="1:33">
      <c r="A4" s="1">
        <v>2688</v>
      </c>
      <c r="B4" s="1">
        <v>77440</v>
      </c>
      <c r="C4" s="1">
        <v>1920</v>
      </c>
      <c r="D4" s="1">
        <v>3539</v>
      </c>
      <c r="E4" s="6">
        <v>49.5</v>
      </c>
      <c r="F4" s="1">
        <v>5059</v>
      </c>
      <c r="G4" s="7">
        <v>70.8</v>
      </c>
      <c r="H4" s="5">
        <v>21.3</v>
      </c>
      <c r="I4" s="8">
        <f>F4/D4</f>
        <v>1.42949985871715</v>
      </c>
      <c r="J4" s="8">
        <f>F4/N4</f>
        <v>1.69121643893134</v>
      </c>
      <c r="K4" s="8">
        <f>F4/O4</f>
        <v>1.67180821772224</v>
      </c>
      <c r="L4" s="8">
        <f>F4/P4</f>
        <v>1.76571209783281</v>
      </c>
      <c r="M4" s="1"/>
      <c r="N4" s="1">
        <f>S4*8.6</f>
        <v>2991.338</v>
      </c>
      <c r="O4" s="1">
        <f>T4*8.6</f>
        <v>3026.0648</v>
      </c>
      <c r="P4" s="1">
        <f>U4*8.6</f>
        <v>2865.133</v>
      </c>
      <c r="Q4" s="1"/>
      <c r="R4" s="10"/>
      <c r="S4" s="1">
        <v>347.83</v>
      </c>
      <c r="T4" s="1">
        <v>351.868</v>
      </c>
      <c r="U4" s="1">
        <v>333.155</v>
      </c>
      <c r="V4" s="8"/>
      <c r="W4" s="8">
        <f>F4/9.5</f>
        <v>532.526315789474</v>
      </c>
      <c r="X4" s="8">
        <f>W4/S4</f>
        <v>1.53099593419048</v>
      </c>
      <c r="Y4" s="8">
        <f>W4/T4</f>
        <v>1.5134263865696</v>
      </c>
      <c r="Z4" s="8">
        <f>W4/U4</f>
        <v>1.59843410961707</v>
      </c>
      <c r="AA4" s="8"/>
      <c r="AB4" s="2"/>
      <c r="AG4" s="8">
        <f>F4/8.3</f>
        <v>609.518072289157</v>
      </c>
    </row>
    <row r="5" ht="20.4" spans="1:33">
      <c r="A5" s="1">
        <v>2688</v>
      </c>
      <c r="B5" s="1">
        <v>83200</v>
      </c>
      <c r="C5" s="1">
        <v>1920</v>
      </c>
      <c r="D5" s="1">
        <v>3640</v>
      </c>
      <c r="E5" s="6">
        <v>50.9</v>
      </c>
      <c r="F5" s="1">
        <v>5082</v>
      </c>
      <c r="G5" s="7">
        <v>71.1</v>
      </c>
      <c r="H5" s="5">
        <v>20.2</v>
      </c>
      <c r="I5" s="8">
        <f t="shared" ref="I5:I52" si="0">F5/D5</f>
        <v>1.39615384615385</v>
      </c>
      <c r="J5" s="8">
        <f t="shared" ref="J5:J52" si="1">F5/N5</f>
        <v>1.70071442053226</v>
      </c>
      <c r="K5" s="8">
        <f t="shared" ref="K5:K52" si="2">F5/O5</f>
        <v>1.67793057078562</v>
      </c>
      <c r="L5" s="8">
        <f t="shared" ref="L5:L52" si="3">F5/P5</f>
        <v>1.74836602431474</v>
      </c>
      <c r="M5" s="1"/>
      <c r="N5" s="1">
        <f t="shared" ref="N5:N36" si="4">S5*8.6</f>
        <v>2988.156</v>
      </c>
      <c r="O5" s="1">
        <f t="shared" ref="O5:O52" si="5">T5*8.6</f>
        <v>3028.7308</v>
      </c>
      <c r="P5" s="1">
        <f t="shared" ref="P5:P52" si="6">U5*8.6</f>
        <v>2906.714</v>
      </c>
      <c r="Q5" s="1"/>
      <c r="R5" s="10"/>
      <c r="S5" s="1">
        <v>347.46</v>
      </c>
      <c r="T5" s="1">
        <v>352.178</v>
      </c>
      <c r="U5" s="1">
        <v>337.99</v>
      </c>
      <c r="V5" s="8"/>
      <c r="W5" s="8">
        <f t="shared" ref="W5:W52" si="7">F5/9.5</f>
        <v>534.947368421053</v>
      </c>
      <c r="X5" s="8">
        <f t="shared" ref="X5:X52" si="8">W5/S5</f>
        <v>1.53959410700815</v>
      </c>
      <c r="Y5" s="8">
        <f t="shared" ref="Y5:Y52" si="9">W5/T5</f>
        <v>1.51896872723751</v>
      </c>
      <c r="Z5" s="8">
        <f t="shared" ref="Z5:Z52" si="10">W5/U5</f>
        <v>1.58273134832703</v>
      </c>
      <c r="AA5" s="8"/>
      <c r="AB5" s="2"/>
      <c r="AG5" s="8">
        <f t="shared" ref="AG5:AG52" si="11">F5/8.3</f>
        <v>612.289156626506</v>
      </c>
    </row>
    <row r="6" ht="20.4" spans="1:33">
      <c r="A6" s="1">
        <v>2688</v>
      </c>
      <c r="B6" s="1">
        <v>74368</v>
      </c>
      <c r="C6" s="1">
        <v>1920</v>
      </c>
      <c r="D6" s="1">
        <v>3537</v>
      </c>
      <c r="E6" s="6">
        <v>49.5</v>
      </c>
      <c r="F6" s="1">
        <v>4930</v>
      </c>
      <c r="G6" s="7">
        <v>69.2</v>
      </c>
      <c r="H6" s="5">
        <v>19.7</v>
      </c>
      <c r="I6" s="8">
        <f t="shared" si="0"/>
        <v>1.39383658467628</v>
      </c>
      <c r="J6" s="8">
        <f t="shared" si="1"/>
        <v>1.63815458065236</v>
      </c>
      <c r="K6" s="8">
        <f t="shared" si="2"/>
        <v>1.62652987011582</v>
      </c>
      <c r="L6" s="8">
        <f t="shared" si="3"/>
        <v>1.70254618717717</v>
      </c>
      <c r="M6" s="1"/>
      <c r="N6" s="1">
        <f t="shared" si="4"/>
        <v>3009.484</v>
      </c>
      <c r="O6" s="1">
        <f t="shared" si="5"/>
        <v>3030.9926</v>
      </c>
      <c r="P6" s="1">
        <f t="shared" si="6"/>
        <v>2895.663</v>
      </c>
      <c r="Q6" s="1"/>
      <c r="R6" s="10"/>
      <c r="S6" s="1">
        <v>349.94</v>
      </c>
      <c r="T6" s="1">
        <v>352.441</v>
      </c>
      <c r="U6" s="1">
        <v>336.705</v>
      </c>
      <c r="V6" s="8"/>
      <c r="W6" s="8">
        <f t="shared" si="7"/>
        <v>518.947368421053</v>
      </c>
      <c r="X6" s="8">
        <f t="shared" si="8"/>
        <v>1.48296098880109</v>
      </c>
      <c r="Y6" s="8">
        <f t="shared" si="9"/>
        <v>1.47243756663116</v>
      </c>
      <c r="Z6" s="8">
        <f t="shared" si="10"/>
        <v>1.54125233786565</v>
      </c>
      <c r="AA6" s="8"/>
      <c r="AB6" s="2"/>
      <c r="AG6" s="8">
        <f t="shared" si="11"/>
        <v>593.975903614458</v>
      </c>
    </row>
    <row r="7" ht="20.4" spans="1:33">
      <c r="A7" s="1">
        <v>2688</v>
      </c>
      <c r="B7" s="1">
        <v>80128</v>
      </c>
      <c r="C7" s="1">
        <v>1920</v>
      </c>
      <c r="D7" s="1">
        <v>3651</v>
      </c>
      <c r="E7" s="6">
        <v>51.1</v>
      </c>
      <c r="F7" s="1">
        <v>5098</v>
      </c>
      <c r="G7" s="7">
        <v>71.3</v>
      </c>
      <c r="H7" s="5">
        <v>20.2</v>
      </c>
      <c r="I7" s="8">
        <f t="shared" si="0"/>
        <v>1.39632977266502</v>
      </c>
      <c r="J7" s="8">
        <f t="shared" si="1"/>
        <v>1.70029456652828</v>
      </c>
      <c r="K7" s="8">
        <f t="shared" si="2"/>
        <v>1.67986958043527</v>
      </c>
      <c r="L7" s="8">
        <f t="shared" si="3"/>
        <v>1.76914423668471</v>
      </c>
      <c r="M7" s="1"/>
      <c r="N7" s="1">
        <f t="shared" si="4"/>
        <v>2998.304</v>
      </c>
      <c r="O7" s="1">
        <f t="shared" si="5"/>
        <v>3034.7594</v>
      </c>
      <c r="P7" s="1">
        <f t="shared" si="6"/>
        <v>2881.6192</v>
      </c>
      <c r="Q7" s="1"/>
      <c r="R7" s="10"/>
      <c r="S7" s="1">
        <v>348.64</v>
      </c>
      <c r="T7" s="1">
        <v>352.879</v>
      </c>
      <c r="U7" s="1">
        <v>335.072</v>
      </c>
      <c r="V7" s="8"/>
      <c r="W7" s="8">
        <f t="shared" si="7"/>
        <v>536.631578947368</v>
      </c>
      <c r="X7" s="8">
        <f t="shared" si="8"/>
        <v>1.53921402864665</v>
      </c>
      <c r="Y7" s="8">
        <f t="shared" si="9"/>
        <v>1.52072404123614</v>
      </c>
      <c r="Z7" s="8">
        <f t="shared" si="10"/>
        <v>1.60154109847247</v>
      </c>
      <c r="AA7" s="8"/>
      <c r="AB7" s="2"/>
      <c r="AG7" s="8">
        <f t="shared" si="11"/>
        <v>614.21686746988</v>
      </c>
    </row>
    <row r="8" ht="20.4" spans="1:33">
      <c r="A8" s="1">
        <v>2688</v>
      </c>
      <c r="B8" s="1">
        <v>31360</v>
      </c>
      <c r="C8" s="1">
        <v>1920</v>
      </c>
      <c r="D8" s="1">
        <v>3223</v>
      </c>
      <c r="E8" s="6">
        <v>45.1</v>
      </c>
      <c r="F8" s="1">
        <v>4477</v>
      </c>
      <c r="G8" s="7">
        <v>62.2</v>
      </c>
      <c r="H8" s="5">
        <v>17.1</v>
      </c>
      <c r="I8" s="8">
        <f t="shared" si="0"/>
        <v>1.38907849829352</v>
      </c>
      <c r="J8" s="8">
        <f t="shared" si="1"/>
        <v>1.50287651303108</v>
      </c>
      <c r="K8" s="8">
        <f t="shared" si="2"/>
        <v>1.47720381189194</v>
      </c>
      <c r="L8" s="8">
        <f t="shared" si="3"/>
        <v>1.54306690423762</v>
      </c>
      <c r="M8" s="1"/>
      <c r="N8" s="1">
        <f t="shared" si="4"/>
        <v>2978.954</v>
      </c>
      <c r="O8" s="1">
        <f t="shared" si="5"/>
        <v>3030.726</v>
      </c>
      <c r="P8" s="1">
        <f t="shared" si="6"/>
        <v>2901.3648</v>
      </c>
      <c r="Q8" s="1"/>
      <c r="R8" s="10"/>
      <c r="S8" s="1">
        <v>346.39</v>
      </c>
      <c r="T8" s="1">
        <v>352.41</v>
      </c>
      <c r="U8" s="1">
        <v>337.368</v>
      </c>
      <c r="V8" s="8"/>
      <c r="W8" s="8">
        <f t="shared" si="7"/>
        <v>471.263157894737</v>
      </c>
      <c r="X8" s="8">
        <f t="shared" si="8"/>
        <v>1.36049873811235</v>
      </c>
      <c r="Y8" s="8">
        <f t="shared" si="9"/>
        <v>1.33725818760744</v>
      </c>
      <c r="Z8" s="8">
        <f t="shared" si="10"/>
        <v>1.396881618573</v>
      </c>
      <c r="AA8" s="8"/>
      <c r="AB8" s="2"/>
      <c r="AG8" s="8">
        <f t="shared" si="11"/>
        <v>539.397590361446</v>
      </c>
    </row>
    <row r="9" ht="20.4" spans="1:33">
      <c r="A9" s="1">
        <v>2688</v>
      </c>
      <c r="B9" s="1">
        <v>47104</v>
      </c>
      <c r="C9" s="1">
        <v>1920</v>
      </c>
      <c r="D9" s="1">
        <v>3614</v>
      </c>
      <c r="E9" s="6">
        <v>50.6</v>
      </c>
      <c r="F9" s="1">
        <v>4705</v>
      </c>
      <c r="G9" s="7">
        <v>65.8</v>
      </c>
      <c r="H9" s="5">
        <v>15.2</v>
      </c>
      <c r="I9" s="8">
        <f t="shared" si="0"/>
        <v>1.30188157166574</v>
      </c>
      <c r="J9" s="8">
        <f t="shared" si="1"/>
        <v>1.59071038657812</v>
      </c>
      <c r="K9" s="8">
        <f t="shared" si="2"/>
        <v>1.54137196322696</v>
      </c>
      <c r="L9" s="8">
        <f t="shared" si="3"/>
        <v>1.66374124025209</v>
      </c>
      <c r="M9" s="1"/>
      <c r="N9" s="1">
        <f t="shared" si="4"/>
        <v>2957.798</v>
      </c>
      <c r="O9" s="1">
        <f t="shared" si="5"/>
        <v>3052.4754</v>
      </c>
      <c r="P9" s="1">
        <f t="shared" si="6"/>
        <v>2827.9638</v>
      </c>
      <c r="Q9" s="1"/>
      <c r="R9" s="10"/>
      <c r="S9" s="1">
        <v>343.93</v>
      </c>
      <c r="T9" s="1">
        <v>354.939</v>
      </c>
      <c r="U9" s="1">
        <v>328.833</v>
      </c>
      <c r="V9" s="8"/>
      <c r="W9" s="8">
        <f t="shared" si="7"/>
        <v>495.263157894737</v>
      </c>
      <c r="X9" s="8">
        <f t="shared" si="8"/>
        <v>1.44001150784967</v>
      </c>
      <c r="Y9" s="8">
        <f t="shared" si="9"/>
        <v>1.39534725092125</v>
      </c>
      <c r="Z9" s="8">
        <f t="shared" si="10"/>
        <v>1.50612364907031</v>
      </c>
      <c r="AA9" s="8"/>
      <c r="AB9" s="2"/>
      <c r="AG9" s="8">
        <f t="shared" si="11"/>
        <v>566.867469879518</v>
      </c>
    </row>
    <row r="10" ht="20.4" spans="1:33">
      <c r="A10" s="1">
        <v>2688</v>
      </c>
      <c r="B10" s="1">
        <v>44416</v>
      </c>
      <c r="C10" s="1">
        <v>1920</v>
      </c>
      <c r="D10" s="1">
        <v>3525</v>
      </c>
      <c r="E10" s="6">
        <v>49.3</v>
      </c>
      <c r="F10" s="1">
        <v>4285</v>
      </c>
      <c r="G10" s="7">
        <v>56</v>
      </c>
      <c r="H10" s="5">
        <v>6.7</v>
      </c>
      <c r="I10" s="8">
        <f t="shared" si="0"/>
        <v>1.21560283687943</v>
      </c>
      <c r="J10" s="8">
        <f t="shared" si="1"/>
        <v>1.43676522954378</v>
      </c>
      <c r="K10" s="8">
        <f t="shared" si="2"/>
        <v>1.41642094986081</v>
      </c>
      <c r="L10" s="8">
        <f t="shared" si="3"/>
        <v>1.49106066504716</v>
      </c>
      <c r="M10" s="1"/>
      <c r="N10" s="1">
        <f t="shared" si="4"/>
        <v>2982.394</v>
      </c>
      <c r="O10" s="1">
        <f t="shared" si="5"/>
        <v>3025.2306</v>
      </c>
      <c r="P10" s="1">
        <f t="shared" si="6"/>
        <v>2873.7932</v>
      </c>
      <c r="Q10" s="1"/>
      <c r="R10" s="10"/>
      <c r="S10" s="1">
        <v>346.79</v>
      </c>
      <c r="T10" s="1">
        <v>351.771</v>
      </c>
      <c r="U10" s="1">
        <v>334.162</v>
      </c>
      <c r="V10" s="8"/>
      <c r="W10" s="8">
        <f t="shared" si="7"/>
        <v>451.052631578947</v>
      </c>
      <c r="X10" s="8">
        <f t="shared" si="8"/>
        <v>1.30065062885016</v>
      </c>
      <c r="Y10" s="8">
        <f t="shared" si="9"/>
        <v>1.28223370197926</v>
      </c>
      <c r="Z10" s="8">
        <f t="shared" si="10"/>
        <v>1.34980228625322</v>
      </c>
      <c r="AA10" s="8"/>
      <c r="AB10" s="2"/>
      <c r="AG10" s="8">
        <f t="shared" si="11"/>
        <v>516.265060240964</v>
      </c>
    </row>
    <row r="11" ht="20.4" spans="1:33">
      <c r="A11" s="1">
        <v>2688</v>
      </c>
      <c r="B11" s="1">
        <v>83968</v>
      </c>
      <c r="C11" s="1">
        <v>1920</v>
      </c>
      <c r="D11" s="1">
        <v>3606</v>
      </c>
      <c r="E11" s="6">
        <v>50.4</v>
      </c>
      <c r="F11" s="1">
        <v>5026</v>
      </c>
      <c r="G11" s="7">
        <v>70.3</v>
      </c>
      <c r="H11" s="5">
        <v>19.9</v>
      </c>
      <c r="I11" s="8">
        <f t="shared" si="0"/>
        <v>1.39378813089296</v>
      </c>
      <c r="J11" s="8">
        <f t="shared" si="1"/>
        <v>1.69357425713215</v>
      </c>
      <c r="K11" s="8">
        <f t="shared" si="2"/>
        <v>1.65275819891053</v>
      </c>
      <c r="L11" s="8">
        <f t="shared" si="3"/>
        <v>1.73845633517217</v>
      </c>
      <c r="M11" s="1"/>
      <c r="N11" s="1">
        <f t="shared" si="4"/>
        <v>2967.688</v>
      </c>
      <c r="O11" s="1">
        <f t="shared" si="5"/>
        <v>3040.9772</v>
      </c>
      <c r="P11" s="1">
        <f t="shared" si="6"/>
        <v>2891.0706</v>
      </c>
      <c r="Q11" s="1"/>
      <c r="R11" s="10"/>
      <c r="S11" s="1">
        <v>345.08</v>
      </c>
      <c r="T11" s="1">
        <v>353.602</v>
      </c>
      <c r="U11" s="1">
        <v>336.171</v>
      </c>
      <c r="V11" s="8"/>
      <c r="W11" s="8">
        <f t="shared" si="7"/>
        <v>529.052631578947</v>
      </c>
      <c r="X11" s="8">
        <f t="shared" si="8"/>
        <v>1.53313038014068</v>
      </c>
      <c r="Y11" s="8">
        <f t="shared" si="9"/>
        <v>1.49618110638217</v>
      </c>
      <c r="Z11" s="8">
        <f t="shared" si="10"/>
        <v>1.57376047184007</v>
      </c>
      <c r="AA11" s="8"/>
      <c r="AB11" s="2"/>
      <c r="AG11" s="8">
        <f t="shared" si="11"/>
        <v>605.542168674699</v>
      </c>
    </row>
    <row r="12" ht="20.4" spans="1:33">
      <c r="A12" s="1">
        <v>2688</v>
      </c>
      <c r="B12" s="1">
        <v>82048</v>
      </c>
      <c r="C12" s="1">
        <v>1920</v>
      </c>
      <c r="D12" s="1">
        <v>3640</v>
      </c>
      <c r="E12" s="6">
        <v>50.9</v>
      </c>
      <c r="F12" s="1">
        <v>5018</v>
      </c>
      <c r="G12" s="7">
        <v>70.2</v>
      </c>
      <c r="H12" s="5">
        <v>19.3</v>
      </c>
      <c r="I12" s="8">
        <f t="shared" si="0"/>
        <v>1.37857142857143</v>
      </c>
      <c r="J12" s="8">
        <f t="shared" si="1"/>
        <v>1.67944153381407</v>
      </c>
      <c r="K12" s="8">
        <f t="shared" si="2"/>
        <v>1.65522981371705</v>
      </c>
      <c r="L12" s="8">
        <f t="shared" si="3"/>
        <v>1.77583649224376</v>
      </c>
      <c r="M12" s="1"/>
      <c r="N12" s="1">
        <f t="shared" si="4"/>
        <v>2987.898</v>
      </c>
      <c r="O12" s="1">
        <f t="shared" si="5"/>
        <v>3031.6032</v>
      </c>
      <c r="P12" s="1">
        <f t="shared" si="6"/>
        <v>2825.7106</v>
      </c>
      <c r="Q12" s="1"/>
      <c r="R12" s="10"/>
      <c r="S12" s="1">
        <v>347.43</v>
      </c>
      <c r="T12" s="1">
        <v>352.512</v>
      </c>
      <c r="U12" s="1">
        <v>328.571</v>
      </c>
      <c r="V12" s="8"/>
      <c r="W12" s="8">
        <f t="shared" si="7"/>
        <v>528.210526315789</v>
      </c>
      <c r="X12" s="8">
        <f t="shared" si="8"/>
        <v>1.52033654640011</v>
      </c>
      <c r="Y12" s="8">
        <f t="shared" si="9"/>
        <v>1.49841856820701</v>
      </c>
      <c r="Z12" s="8">
        <f t="shared" si="10"/>
        <v>1.6075993508733</v>
      </c>
      <c r="AA12" s="8"/>
      <c r="AB12" s="2"/>
      <c r="AG12" s="8">
        <f t="shared" si="11"/>
        <v>604.578313253012</v>
      </c>
    </row>
    <row r="13" ht="20.4" spans="1:33">
      <c r="A13" s="1">
        <v>2688</v>
      </c>
      <c r="B13" s="1">
        <v>79744</v>
      </c>
      <c r="C13" s="1">
        <v>1920</v>
      </c>
      <c r="D13" s="1">
        <v>3625</v>
      </c>
      <c r="E13" s="6">
        <v>50.7</v>
      </c>
      <c r="F13" s="1">
        <v>4736</v>
      </c>
      <c r="G13" s="7">
        <v>66.3</v>
      </c>
      <c r="H13" s="5">
        <v>15.6</v>
      </c>
      <c r="I13" s="8">
        <f t="shared" si="0"/>
        <v>1.30648275862069</v>
      </c>
      <c r="J13" s="8">
        <f t="shared" si="1"/>
        <v>1.58369330923016</v>
      </c>
      <c r="K13" s="8">
        <f t="shared" si="2"/>
        <v>1.56728265684591</v>
      </c>
      <c r="L13" s="8">
        <f t="shared" si="3"/>
        <v>1.63830829724281</v>
      </c>
      <c r="M13" s="1"/>
      <c r="N13" s="1">
        <f t="shared" si="4"/>
        <v>2990.478</v>
      </c>
      <c r="O13" s="1">
        <f t="shared" si="5"/>
        <v>3021.7906</v>
      </c>
      <c r="P13" s="1">
        <f t="shared" si="6"/>
        <v>2890.7868</v>
      </c>
      <c r="Q13" s="1"/>
      <c r="R13" s="10"/>
      <c r="S13" s="1">
        <v>347.73</v>
      </c>
      <c r="T13" s="1">
        <v>351.371</v>
      </c>
      <c r="U13" s="1">
        <v>336.138</v>
      </c>
      <c r="V13" s="8"/>
      <c r="W13" s="8">
        <f t="shared" si="7"/>
        <v>498.526315789474</v>
      </c>
      <c r="X13" s="8">
        <f t="shared" si="8"/>
        <v>1.43365920625046</v>
      </c>
      <c r="Y13" s="8">
        <f t="shared" si="9"/>
        <v>1.41880324724998</v>
      </c>
      <c r="Z13" s="8">
        <f t="shared" si="10"/>
        <v>1.48310014276718</v>
      </c>
      <c r="AA13" s="8"/>
      <c r="AB13" s="2"/>
      <c r="AG13" s="8">
        <f t="shared" si="11"/>
        <v>570.602409638554</v>
      </c>
    </row>
    <row r="14" ht="20.4" spans="1:33">
      <c r="A14" s="1">
        <v>2688</v>
      </c>
      <c r="B14" s="1">
        <v>78976</v>
      </c>
      <c r="C14" s="1">
        <v>1920</v>
      </c>
      <c r="D14" s="1">
        <v>3631</v>
      </c>
      <c r="E14" s="6">
        <v>50.8</v>
      </c>
      <c r="F14" s="1">
        <v>4933</v>
      </c>
      <c r="G14" s="7">
        <v>69</v>
      </c>
      <c r="H14" s="5">
        <v>18.2</v>
      </c>
      <c r="I14" s="8">
        <f t="shared" si="0"/>
        <v>1.35857890388323</v>
      </c>
      <c r="J14" s="8">
        <f t="shared" si="1"/>
        <v>1.64800508867089</v>
      </c>
      <c r="K14" s="8">
        <f t="shared" si="2"/>
        <v>1.62484108968504</v>
      </c>
      <c r="L14" s="8">
        <f t="shared" si="3"/>
        <v>1.70868230909381</v>
      </c>
      <c r="M14" s="1"/>
      <c r="N14" s="1">
        <f t="shared" si="4"/>
        <v>2993.316</v>
      </c>
      <c r="O14" s="1">
        <f t="shared" si="5"/>
        <v>3035.9892</v>
      </c>
      <c r="P14" s="1">
        <f t="shared" si="6"/>
        <v>2887.02</v>
      </c>
      <c r="Q14" s="1"/>
      <c r="R14" s="10"/>
      <c r="S14" s="1">
        <v>348.06</v>
      </c>
      <c r="T14" s="1">
        <v>353.022</v>
      </c>
      <c r="U14" s="1">
        <v>335.7</v>
      </c>
      <c r="V14" s="8"/>
      <c r="W14" s="8">
        <f t="shared" si="7"/>
        <v>519.263157894737</v>
      </c>
      <c r="X14" s="8">
        <f t="shared" si="8"/>
        <v>1.49187829079681</v>
      </c>
      <c r="Y14" s="8">
        <f t="shared" si="9"/>
        <v>1.4709087759254</v>
      </c>
      <c r="Z14" s="8">
        <f t="shared" si="10"/>
        <v>1.54680714296913</v>
      </c>
      <c r="AA14" s="8"/>
      <c r="AB14" s="2"/>
      <c r="AG14" s="8">
        <f t="shared" si="11"/>
        <v>594.33734939759</v>
      </c>
    </row>
    <row r="15" ht="20.4" spans="1:33">
      <c r="A15" s="1">
        <v>2688</v>
      </c>
      <c r="B15" s="1">
        <v>83584</v>
      </c>
      <c r="C15" s="1">
        <v>1920</v>
      </c>
      <c r="D15" s="1">
        <v>3569</v>
      </c>
      <c r="E15" s="6">
        <v>49.9</v>
      </c>
      <c r="F15" s="1">
        <v>4998</v>
      </c>
      <c r="G15" s="7">
        <v>69.9</v>
      </c>
      <c r="H15" s="5">
        <v>20</v>
      </c>
      <c r="I15" s="8">
        <f t="shared" si="0"/>
        <v>1.40039226674138</v>
      </c>
      <c r="J15" s="8">
        <f t="shared" si="1"/>
        <v>1.66996003188895</v>
      </c>
      <c r="K15" s="8">
        <f t="shared" si="2"/>
        <v>1.64703472455371</v>
      </c>
      <c r="L15" s="8">
        <f t="shared" si="3"/>
        <v>1.7528714931961</v>
      </c>
      <c r="M15" s="1"/>
      <c r="N15" s="1">
        <f t="shared" si="4"/>
        <v>2992.886</v>
      </c>
      <c r="O15" s="1">
        <f t="shared" si="5"/>
        <v>3034.5444</v>
      </c>
      <c r="P15" s="1">
        <f t="shared" si="6"/>
        <v>2851.3214</v>
      </c>
      <c r="Q15" s="1"/>
      <c r="R15" s="10"/>
      <c r="S15" s="1">
        <v>348.01</v>
      </c>
      <c r="T15" s="1">
        <v>352.854</v>
      </c>
      <c r="U15" s="1">
        <v>331.549</v>
      </c>
      <c r="V15" s="8"/>
      <c r="W15" s="8">
        <f t="shared" si="7"/>
        <v>526.105263157895</v>
      </c>
      <c r="X15" s="8">
        <f t="shared" si="8"/>
        <v>1.51175329202579</v>
      </c>
      <c r="Y15" s="8">
        <f t="shared" si="9"/>
        <v>1.49099985591178</v>
      </c>
      <c r="Z15" s="8">
        <f t="shared" si="10"/>
        <v>1.58680998331437</v>
      </c>
      <c r="AA15" s="8"/>
      <c r="AB15" s="2"/>
      <c r="AG15" s="8">
        <f t="shared" si="11"/>
        <v>602.168674698795</v>
      </c>
    </row>
    <row r="16" ht="20.4" spans="1:33">
      <c r="A16" s="1">
        <v>2688</v>
      </c>
      <c r="B16" s="1">
        <v>81664</v>
      </c>
      <c r="C16" s="1">
        <v>1920</v>
      </c>
      <c r="D16" s="1">
        <v>3564</v>
      </c>
      <c r="E16" s="6">
        <v>49.9</v>
      </c>
      <c r="F16" s="1">
        <v>5095</v>
      </c>
      <c r="G16" s="7">
        <v>71.3</v>
      </c>
      <c r="H16" s="5">
        <v>21.4</v>
      </c>
      <c r="I16" s="8">
        <f t="shared" si="0"/>
        <v>1.42957351290685</v>
      </c>
      <c r="J16" s="8">
        <f t="shared" si="1"/>
        <v>1.71483692388884</v>
      </c>
      <c r="K16" s="8">
        <f t="shared" si="2"/>
        <v>1.6822084679898</v>
      </c>
      <c r="L16" s="8">
        <f t="shared" si="3"/>
        <v>1.81100114773753</v>
      </c>
      <c r="M16" s="1"/>
      <c r="N16" s="1">
        <f t="shared" si="4"/>
        <v>2971.128</v>
      </c>
      <c r="O16" s="1">
        <f t="shared" si="5"/>
        <v>3028.7566</v>
      </c>
      <c r="P16" s="1">
        <f t="shared" si="6"/>
        <v>2813.361</v>
      </c>
      <c r="Q16" s="1"/>
      <c r="R16" s="10"/>
      <c r="S16" s="1">
        <v>345.48</v>
      </c>
      <c r="T16" s="1">
        <v>352.181</v>
      </c>
      <c r="U16" s="1">
        <v>327.135</v>
      </c>
      <c r="V16" s="8"/>
      <c r="W16" s="8">
        <f t="shared" si="7"/>
        <v>536.315789473684</v>
      </c>
      <c r="X16" s="8">
        <f t="shared" si="8"/>
        <v>1.55237868899411</v>
      </c>
      <c r="Y16" s="8">
        <f t="shared" si="9"/>
        <v>1.52284134996971</v>
      </c>
      <c r="Z16" s="8">
        <f t="shared" si="10"/>
        <v>1.63943261795187</v>
      </c>
      <c r="AA16" s="8"/>
      <c r="AB16" s="2"/>
      <c r="AG16" s="8">
        <f t="shared" si="11"/>
        <v>613.855421686747</v>
      </c>
    </row>
    <row r="17" ht="20.4" spans="1:33">
      <c r="A17" s="1">
        <v>2688</v>
      </c>
      <c r="B17" s="1">
        <v>81280</v>
      </c>
      <c r="C17" s="1">
        <v>1920</v>
      </c>
      <c r="D17" s="1">
        <v>3606</v>
      </c>
      <c r="E17" s="6">
        <v>50.4</v>
      </c>
      <c r="F17" s="1">
        <v>4706</v>
      </c>
      <c r="G17" s="7">
        <v>65.8</v>
      </c>
      <c r="H17" s="5">
        <v>15.4</v>
      </c>
      <c r="I17" s="8">
        <f t="shared" si="0"/>
        <v>1.30504714364947</v>
      </c>
      <c r="J17" s="8">
        <f t="shared" si="1"/>
        <v>1.57253089926312</v>
      </c>
      <c r="K17" s="8">
        <f t="shared" si="2"/>
        <v>1.54900952920643</v>
      </c>
      <c r="L17" s="8">
        <f t="shared" si="3"/>
        <v>1.66903852670075</v>
      </c>
      <c r="M17" s="1"/>
      <c r="N17" s="1">
        <f t="shared" si="4"/>
        <v>2992.628</v>
      </c>
      <c r="O17" s="1">
        <f t="shared" si="5"/>
        <v>3038.0704</v>
      </c>
      <c r="P17" s="1">
        <f t="shared" si="6"/>
        <v>2819.5874</v>
      </c>
      <c r="Q17" s="1"/>
      <c r="R17" s="10"/>
      <c r="S17" s="1">
        <v>347.98</v>
      </c>
      <c r="T17" s="1">
        <v>353.264</v>
      </c>
      <c r="U17" s="1">
        <v>327.859</v>
      </c>
      <c r="V17" s="8"/>
      <c r="W17" s="8">
        <f t="shared" si="7"/>
        <v>495.368421052632</v>
      </c>
      <c r="X17" s="8">
        <f t="shared" si="8"/>
        <v>1.42355428775398</v>
      </c>
      <c r="Y17" s="8">
        <f t="shared" si="9"/>
        <v>1.40226125801846</v>
      </c>
      <c r="Z17" s="8">
        <f t="shared" si="10"/>
        <v>1.5109190873291</v>
      </c>
      <c r="AA17" s="8"/>
      <c r="AB17" s="2"/>
      <c r="AG17" s="8">
        <f t="shared" si="11"/>
        <v>566.987951807229</v>
      </c>
    </row>
    <row r="18" ht="20.4" spans="1:33">
      <c r="A18" s="1">
        <v>2688</v>
      </c>
      <c r="B18" s="1">
        <v>75520</v>
      </c>
      <c r="C18" s="1">
        <v>1920</v>
      </c>
      <c r="D18" s="1">
        <v>3554</v>
      </c>
      <c r="E18" s="6">
        <v>49.7</v>
      </c>
      <c r="F18" s="1">
        <v>5021</v>
      </c>
      <c r="G18" s="7">
        <v>70.3</v>
      </c>
      <c r="H18" s="5">
        <v>20.6</v>
      </c>
      <c r="I18" s="8">
        <f t="shared" si="0"/>
        <v>1.41277433877321</v>
      </c>
      <c r="J18" s="8">
        <f t="shared" si="1"/>
        <v>1.67173636840661</v>
      </c>
      <c r="K18" s="8">
        <f t="shared" si="2"/>
        <v>1.66410295603812</v>
      </c>
      <c r="L18" s="8">
        <f t="shared" si="3"/>
        <v>1.7748940825505</v>
      </c>
      <c r="M18" s="1"/>
      <c r="N18" s="1">
        <f t="shared" si="4"/>
        <v>3003.464</v>
      </c>
      <c r="O18" s="1">
        <f t="shared" si="5"/>
        <v>3017.2412</v>
      </c>
      <c r="P18" s="1">
        <f t="shared" si="6"/>
        <v>2828.9012</v>
      </c>
      <c r="Q18" s="1"/>
      <c r="R18" s="10"/>
      <c r="S18" s="1">
        <v>349.24</v>
      </c>
      <c r="T18" s="1">
        <v>350.842</v>
      </c>
      <c r="U18" s="1">
        <v>328.942</v>
      </c>
      <c r="V18" s="8"/>
      <c r="W18" s="8">
        <f t="shared" si="7"/>
        <v>528.526315789474</v>
      </c>
      <c r="X18" s="8">
        <f t="shared" si="8"/>
        <v>1.51336134403125</v>
      </c>
      <c r="Y18" s="8">
        <f t="shared" si="9"/>
        <v>1.50645109704503</v>
      </c>
      <c r="Z18" s="8">
        <f t="shared" si="10"/>
        <v>1.60674622209834</v>
      </c>
      <c r="AA18" s="8"/>
      <c r="AB18" s="2"/>
      <c r="AG18" s="8">
        <f t="shared" si="11"/>
        <v>604.939759036145</v>
      </c>
    </row>
    <row r="19" ht="20.4" spans="1:40">
      <c r="A19" s="2"/>
      <c r="B19" s="2"/>
      <c r="C19" s="2"/>
      <c r="D19" s="2"/>
      <c r="E19" s="2"/>
      <c r="F19" s="2"/>
      <c r="G19" s="2"/>
      <c r="H19" s="2"/>
      <c r="I19" s="9"/>
      <c r="J19" s="9"/>
      <c r="K19" s="9"/>
      <c r="L19" s="9"/>
      <c r="M19" s="10"/>
      <c r="N19" s="10"/>
      <c r="O19" s="10"/>
      <c r="P19" s="10"/>
      <c r="Q19" s="2"/>
      <c r="R19" s="2"/>
      <c r="S19" s="2"/>
      <c r="T19" s="10"/>
      <c r="U19" s="10"/>
      <c r="V19" s="9"/>
      <c r="W19" s="9"/>
      <c r="X19" s="9"/>
      <c r="Y19" s="9"/>
      <c r="Z19" s="9"/>
      <c r="AA19" s="9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0.4" spans="1:33">
      <c r="A20" s="1">
        <v>3456</v>
      </c>
      <c r="B20" s="1">
        <v>83584</v>
      </c>
      <c r="C20" s="1">
        <v>1920</v>
      </c>
      <c r="D20" s="1">
        <v>4573</v>
      </c>
      <c r="E20" s="6">
        <v>64</v>
      </c>
      <c r="F20" s="1">
        <v>5920</v>
      </c>
      <c r="G20" s="7">
        <v>82.8</v>
      </c>
      <c r="H20" s="5">
        <v>18.8</v>
      </c>
      <c r="I20" s="8">
        <f t="shared" si="0"/>
        <v>1.29455499671988</v>
      </c>
      <c r="J20" s="8">
        <f t="shared" si="1"/>
        <v>1.96184477035812</v>
      </c>
      <c r="K20" s="8">
        <f t="shared" si="2"/>
        <v>1.95489166730069</v>
      </c>
      <c r="L20" s="8">
        <f t="shared" si="3"/>
        <v>2.26721590482595</v>
      </c>
      <c r="M20" s="1"/>
      <c r="N20" s="1">
        <f t="shared" si="4"/>
        <v>3017.568</v>
      </c>
      <c r="O20" s="1">
        <f t="shared" si="5"/>
        <v>3028.3008</v>
      </c>
      <c r="P20" s="1">
        <f t="shared" si="6"/>
        <v>2611.132</v>
      </c>
      <c r="R20" s="2"/>
      <c r="S20" s="1">
        <v>350.88</v>
      </c>
      <c r="T20" s="1">
        <v>352.128</v>
      </c>
      <c r="U20" s="1">
        <v>303.62</v>
      </c>
      <c r="V20" s="8"/>
      <c r="W20" s="8">
        <f t="shared" si="7"/>
        <v>623.157894736842</v>
      </c>
      <c r="X20" s="8">
        <f t="shared" si="8"/>
        <v>1.77598579211366</v>
      </c>
      <c r="Y20" s="8">
        <f t="shared" si="9"/>
        <v>1.76969140408273</v>
      </c>
      <c r="Z20" s="8">
        <f t="shared" si="10"/>
        <v>2.05242702963191</v>
      </c>
      <c r="AA20" s="8"/>
      <c r="AB20" s="2"/>
      <c r="AG20" s="8">
        <f t="shared" si="11"/>
        <v>713.253012048193</v>
      </c>
    </row>
    <row r="21" ht="20.4" spans="1:33">
      <c r="A21" s="1">
        <v>3456</v>
      </c>
      <c r="B21" s="1">
        <v>77440</v>
      </c>
      <c r="C21" s="1">
        <v>1920</v>
      </c>
      <c r="D21" s="1">
        <v>4537</v>
      </c>
      <c r="E21" s="6">
        <v>63.5</v>
      </c>
      <c r="F21" s="1">
        <v>5812</v>
      </c>
      <c r="G21" s="7">
        <v>81.3</v>
      </c>
      <c r="H21" s="5">
        <v>17.8</v>
      </c>
      <c r="I21" s="8">
        <f t="shared" si="0"/>
        <v>1.28102270222614</v>
      </c>
      <c r="J21" s="8">
        <f t="shared" si="1"/>
        <v>1.92671328968061</v>
      </c>
      <c r="K21" s="8">
        <f t="shared" si="2"/>
        <v>1.91907005536841</v>
      </c>
      <c r="L21" s="8">
        <f t="shared" si="3"/>
        <v>2.22087325867602</v>
      </c>
      <c r="M21" s="1"/>
      <c r="N21" s="1">
        <f t="shared" si="4"/>
        <v>3016.536</v>
      </c>
      <c r="O21" s="1">
        <f t="shared" si="5"/>
        <v>3028.5502</v>
      </c>
      <c r="P21" s="1">
        <f t="shared" si="6"/>
        <v>2616.9886</v>
      </c>
      <c r="R21" s="2"/>
      <c r="S21" s="1">
        <v>350.76</v>
      </c>
      <c r="T21" s="1">
        <v>352.157</v>
      </c>
      <c r="U21" s="1">
        <v>304.301</v>
      </c>
      <c r="V21" s="8"/>
      <c r="W21" s="8">
        <f t="shared" si="7"/>
        <v>611.789473684211</v>
      </c>
      <c r="X21" s="8">
        <f t="shared" si="8"/>
        <v>1.74418255697403</v>
      </c>
      <c r="Y21" s="8">
        <f t="shared" si="9"/>
        <v>1.73726341854403</v>
      </c>
      <c r="Z21" s="8">
        <f t="shared" si="10"/>
        <v>2.01047473943303</v>
      </c>
      <c r="AA21" s="8"/>
      <c r="AB21" s="2"/>
      <c r="AG21" s="8">
        <f t="shared" si="11"/>
        <v>700.240963855422</v>
      </c>
    </row>
    <row r="22" ht="20.4" spans="1:33">
      <c r="A22" s="1">
        <v>3456</v>
      </c>
      <c r="B22" s="1">
        <v>78208</v>
      </c>
      <c r="C22" s="1">
        <v>1920</v>
      </c>
      <c r="D22" s="1">
        <v>4539</v>
      </c>
      <c r="E22" s="6">
        <v>63.5</v>
      </c>
      <c r="F22" s="1">
        <v>5906</v>
      </c>
      <c r="G22" s="7">
        <v>82.6</v>
      </c>
      <c r="H22" s="5">
        <v>19.1</v>
      </c>
      <c r="I22" s="8">
        <f t="shared" si="0"/>
        <v>1.30116765807447</v>
      </c>
      <c r="J22" s="8">
        <f t="shared" si="1"/>
        <v>1.94859741238405</v>
      </c>
      <c r="K22" s="8">
        <f t="shared" si="2"/>
        <v>1.96420268868951</v>
      </c>
      <c r="L22" s="8">
        <f t="shared" si="3"/>
        <v>2.23698089241069</v>
      </c>
      <c r="M22" s="1"/>
      <c r="N22" s="1">
        <f t="shared" si="4"/>
        <v>3030.898</v>
      </c>
      <c r="O22" s="1">
        <f t="shared" si="5"/>
        <v>3006.818</v>
      </c>
      <c r="P22" s="1">
        <f t="shared" si="6"/>
        <v>2640.1656</v>
      </c>
      <c r="R22" s="2"/>
      <c r="S22" s="1">
        <v>352.43</v>
      </c>
      <c r="T22" s="1">
        <v>349.63</v>
      </c>
      <c r="U22" s="1">
        <v>306.996</v>
      </c>
      <c r="V22" s="8"/>
      <c r="W22" s="8">
        <f t="shared" si="7"/>
        <v>621.684210526316</v>
      </c>
      <c r="X22" s="8">
        <f t="shared" si="8"/>
        <v>1.7639934470003</v>
      </c>
      <c r="Y22" s="8">
        <f t="shared" si="9"/>
        <v>1.77812032870839</v>
      </c>
      <c r="Z22" s="8">
        <f t="shared" si="10"/>
        <v>2.02505638681389</v>
      </c>
      <c r="AA22" s="8"/>
      <c r="AB22" s="2"/>
      <c r="AG22" s="8">
        <f t="shared" si="11"/>
        <v>711.566265060241</v>
      </c>
    </row>
    <row r="23" ht="20.4" spans="1:33">
      <c r="A23" s="1">
        <v>3456</v>
      </c>
      <c r="B23" s="1">
        <v>80512</v>
      </c>
      <c r="C23" s="1">
        <v>1920</v>
      </c>
      <c r="D23" s="1">
        <v>4538</v>
      </c>
      <c r="E23" s="6">
        <v>63.5</v>
      </c>
      <c r="F23" s="1">
        <v>5799</v>
      </c>
      <c r="G23" s="7">
        <v>81.1</v>
      </c>
      <c r="H23" s="5">
        <v>17.6</v>
      </c>
      <c r="I23" s="8">
        <f t="shared" si="0"/>
        <v>1.27787571617453</v>
      </c>
      <c r="J23" s="8">
        <f t="shared" si="1"/>
        <v>1.90561629385727</v>
      </c>
      <c r="K23" s="8">
        <f t="shared" si="2"/>
        <v>1.92015378713332</v>
      </c>
      <c r="L23" s="8">
        <f t="shared" si="3"/>
        <v>2.1136811263985</v>
      </c>
      <c r="M23" s="1"/>
      <c r="N23" s="1">
        <f t="shared" si="4"/>
        <v>3043.11</v>
      </c>
      <c r="O23" s="1">
        <f t="shared" si="5"/>
        <v>3020.0706</v>
      </c>
      <c r="P23" s="1">
        <f t="shared" si="6"/>
        <v>2743.5548</v>
      </c>
      <c r="R23" s="2"/>
      <c r="S23" s="1">
        <v>353.85</v>
      </c>
      <c r="T23" s="1">
        <v>351.171</v>
      </c>
      <c r="U23" s="1">
        <v>319.018</v>
      </c>
      <c r="V23" s="8"/>
      <c r="W23" s="8">
        <f t="shared" si="7"/>
        <v>610.421052631579</v>
      </c>
      <c r="X23" s="8">
        <f t="shared" si="8"/>
        <v>1.7250842239129</v>
      </c>
      <c r="Y23" s="8">
        <f t="shared" si="9"/>
        <v>1.73824448098385</v>
      </c>
      <c r="Z23" s="8">
        <f t="shared" si="10"/>
        <v>1.91343765126601</v>
      </c>
      <c r="AA23" s="8"/>
      <c r="AB23" s="2"/>
      <c r="AG23" s="8">
        <f t="shared" si="11"/>
        <v>698.674698795181</v>
      </c>
    </row>
    <row r="24" ht="20.4" spans="1:33">
      <c r="A24" s="1">
        <v>3456</v>
      </c>
      <c r="B24" s="1">
        <v>45568</v>
      </c>
      <c r="C24" s="1">
        <v>1920</v>
      </c>
      <c r="D24" s="1">
        <v>4549</v>
      </c>
      <c r="E24" s="6">
        <v>63.6</v>
      </c>
      <c r="F24" s="1">
        <v>5797</v>
      </c>
      <c r="G24" s="7">
        <v>81.1</v>
      </c>
      <c r="H24" s="5">
        <v>17.5</v>
      </c>
      <c r="I24" s="8">
        <f t="shared" si="0"/>
        <v>1.27434601011211</v>
      </c>
      <c r="J24" s="8">
        <f t="shared" si="1"/>
        <v>1.92135725976074</v>
      </c>
      <c r="K24" s="8">
        <f t="shared" si="2"/>
        <v>1.90794081874983</v>
      </c>
      <c r="L24" s="8">
        <f t="shared" si="3"/>
        <v>2.16870302281362</v>
      </c>
      <c r="M24" s="1"/>
      <c r="N24" s="1">
        <f t="shared" si="4"/>
        <v>3017.138</v>
      </c>
      <c r="O24" s="1">
        <f t="shared" si="5"/>
        <v>3038.3542</v>
      </c>
      <c r="P24" s="1">
        <f t="shared" si="6"/>
        <v>2673.0262</v>
      </c>
      <c r="R24" s="2"/>
      <c r="S24" s="1">
        <v>350.83</v>
      </c>
      <c r="T24" s="1">
        <v>353.297</v>
      </c>
      <c r="U24" s="1">
        <v>310.817</v>
      </c>
      <c r="V24" s="8"/>
      <c r="W24" s="8">
        <f t="shared" si="7"/>
        <v>610.210526315789</v>
      </c>
      <c r="X24" s="8">
        <f t="shared" si="8"/>
        <v>1.73933394041499</v>
      </c>
      <c r="Y24" s="8">
        <f t="shared" si="9"/>
        <v>1.72718853065775</v>
      </c>
      <c r="Z24" s="8">
        <f t="shared" si="10"/>
        <v>1.96324694696812</v>
      </c>
      <c r="AA24" s="8"/>
      <c r="AB24" s="2"/>
      <c r="AG24" s="8">
        <f t="shared" si="11"/>
        <v>698.433734939759</v>
      </c>
    </row>
    <row r="25" ht="20.4" spans="1:33">
      <c r="A25" s="1">
        <v>3456</v>
      </c>
      <c r="B25" s="1">
        <v>45184</v>
      </c>
      <c r="C25" s="1">
        <v>1920</v>
      </c>
      <c r="D25" s="1">
        <v>4561</v>
      </c>
      <c r="E25" s="6">
        <v>63.8</v>
      </c>
      <c r="F25" s="1">
        <v>5812</v>
      </c>
      <c r="G25" s="7">
        <v>81.3</v>
      </c>
      <c r="H25" s="5">
        <v>17.5</v>
      </c>
      <c r="I25" s="8">
        <f t="shared" si="0"/>
        <v>1.27428195571147</v>
      </c>
      <c r="J25" s="8">
        <f t="shared" si="1"/>
        <v>1.91611554717429</v>
      </c>
      <c r="K25" s="8">
        <f t="shared" si="2"/>
        <v>1.93037305156707</v>
      </c>
      <c r="L25" s="8">
        <f t="shared" si="3"/>
        <v>2.17311907047337</v>
      </c>
      <c r="M25" s="1"/>
      <c r="N25" s="1">
        <f t="shared" si="4"/>
        <v>3033.22</v>
      </c>
      <c r="O25" s="1">
        <f t="shared" si="5"/>
        <v>3010.817</v>
      </c>
      <c r="P25" s="1">
        <f t="shared" si="6"/>
        <v>2674.4968</v>
      </c>
      <c r="R25" s="2"/>
      <c r="S25" s="1">
        <v>352.7</v>
      </c>
      <c r="T25" s="1">
        <v>350.095</v>
      </c>
      <c r="U25" s="1">
        <v>310.988</v>
      </c>
      <c r="V25" s="8"/>
      <c r="W25" s="8">
        <f t="shared" si="7"/>
        <v>611.789473684211</v>
      </c>
      <c r="X25" s="8">
        <f t="shared" si="8"/>
        <v>1.7345888111262</v>
      </c>
      <c r="Y25" s="8">
        <f t="shared" si="9"/>
        <v>1.7474956045765</v>
      </c>
      <c r="Z25" s="8">
        <f t="shared" si="10"/>
        <v>1.967244632218</v>
      </c>
      <c r="AA25" s="8"/>
      <c r="AB25" s="2"/>
      <c r="AG25" s="8">
        <f t="shared" si="11"/>
        <v>700.240963855422</v>
      </c>
    </row>
    <row r="26" ht="20.4" spans="1:33">
      <c r="A26" s="1">
        <v>3456</v>
      </c>
      <c r="B26" s="1">
        <v>37888</v>
      </c>
      <c r="C26" s="1">
        <v>1920</v>
      </c>
      <c r="D26" s="1">
        <v>4534</v>
      </c>
      <c r="E26" s="6">
        <v>63.4</v>
      </c>
      <c r="F26" s="1">
        <v>5652</v>
      </c>
      <c r="G26" s="7">
        <v>79.1</v>
      </c>
      <c r="H26" s="5">
        <v>15.7</v>
      </c>
      <c r="I26" s="8">
        <f t="shared" si="0"/>
        <v>1.24658138509043</v>
      </c>
      <c r="J26" s="8">
        <f t="shared" si="1"/>
        <v>1.87854595491091</v>
      </c>
      <c r="K26" s="8">
        <f t="shared" si="2"/>
        <v>1.85623505479539</v>
      </c>
      <c r="L26" s="8">
        <f t="shared" si="3"/>
        <v>2.14671155466355</v>
      </c>
      <c r="M26" s="1"/>
      <c r="N26" s="1">
        <f t="shared" si="4"/>
        <v>3008.71</v>
      </c>
      <c r="O26" s="1">
        <f t="shared" si="5"/>
        <v>3044.873</v>
      </c>
      <c r="P26" s="1">
        <f t="shared" si="6"/>
        <v>2632.8642</v>
      </c>
      <c r="R26" s="2"/>
      <c r="S26" s="1">
        <v>349.85</v>
      </c>
      <c r="T26" s="1">
        <v>354.055</v>
      </c>
      <c r="U26" s="1">
        <v>306.147</v>
      </c>
      <c r="V26" s="8"/>
      <c r="W26" s="8">
        <f t="shared" si="7"/>
        <v>594.947368421053</v>
      </c>
      <c r="X26" s="8">
        <f t="shared" si="8"/>
        <v>1.70057844339303</v>
      </c>
      <c r="Y26" s="8">
        <f t="shared" si="9"/>
        <v>1.68038120749898</v>
      </c>
      <c r="Z26" s="8">
        <f t="shared" si="10"/>
        <v>1.94333888106384</v>
      </c>
      <c r="AA26" s="8"/>
      <c r="AB26" s="2"/>
      <c r="AG26" s="8">
        <f t="shared" si="11"/>
        <v>680.963855421687</v>
      </c>
    </row>
    <row r="27" ht="20.4" spans="1:33">
      <c r="A27" s="1">
        <v>12672</v>
      </c>
      <c r="B27" s="1">
        <v>62464</v>
      </c>
      <c r="C27" s="1">
        <v>1920</v>
      </c>
      <c r="D27" s="1">
        <v>5778</v>
      </c>
      <c r="E27" s="6">
        <v>80.9</v>
      </c>
      <c r="F27" s="1">
        <v>6134</v>
      </c>
      <c r="G27" s="7">
        <v>85.8</v>
      </c>
      <c r="H27" s="5">
        <v>4.9</v>
      </c>
      <c r="I27" s="8">
        <f t="shared" si="0"/>
        <v>1.06161301488404</v>
      </c>
      <c r="J27" s="8">
        <f t="shared" si="1"/>
        <v>2.0095109425635</v>
      </c>
      <c r="K27" s="8">
        <f t="shared" si="2"/>
        <v>2.00238575742902</v>
      </c>
      <c r="L27" s="8">
        <f t="shared" si="3"/>
        <v>2.32584681640712</v>
      </c>
      <c r="M27" s="1"/>
      <c r="N27" s="1">
        <f t="shared" si="4"/>
        <v>3052.484</v>
      </c>
      <c r="O27" s="1">
        <f t="shared" si="5"/>
        <v>3063.3458</v>
      </c>
      <c r="P27" s="1">
        <f t="shared" si="6"/>
        <v>2637.319</v>
      </c>
      <c r="R27" s="2"/>
      <c r="S27" s="1">
        <v>354.94</v>
      </c>
      <c r="T27" s="1">
        <v>356.203</v>
      </c>
      <c r="U27" s="1">
        <v>306.665</v>
      </c>
      <c r="V27" s="8"/>
      <c r="W27" s="8">
        <f t="shared" si="7"/>
        <v>645.684210526316</v>
      </c>
      <c r="X27" s="8">
        <f t="shared" si="8"/>
        <v>1.81913622168906</v>
      </c>
      <c r="Y27" s="8">
        <f t="shared" si="9"/>
        <v>1.81268605409364</v>
      </c>
      <c r="Z27" s="8">
        <f t="shared" si="10"/>
        <v>2.10550343380013</v>
      </c>
      <c r="AA27" s="8"/>
      <c r="AB27" s="2"/>
      <c r="AG27" s="8">
        <f t="shared" si="11"/>
        <v>739.036144578313</v>
      </c>
    </row>
    <row r="28" ht="20.4" spans="1:33">
      <c r="A28" s="1">
        <v>12672</v>
      </c>
      <c r="B28" s="1">
        <v>73984</v>
      </c>
      <c r="C28" s="1">
        <v>1920</v>
      </c>
      <c r="D28" s="1">
        <v>5751</v>
      </c>
      <c r="E28" s="6">
        <v>80.5</v>
      </c>
      <c r="F28" s="1">
        <v>6119</v>
      </c>
      <c r="G28" s="7">
        <v>85.6</v>
      </c>
      <c r="H28" s="5">
        <v>5.1</v>
      </c>
      <c r="I28" s="8">
        <f t="shared" si="0"/>
        <v>1.06398887150061</v>
      </c>
      <c r="J28" s="8">
        <f t="shared" si="1"/>
        <v>2.00776462528071</v>
      </c>
      <c r="K28" s="8">
        <f t="shared" si="2"/>
        <v>2.00199106337887</v>
      </c>
      <c r="L28" s="8">
        <f t="shared" si="3"/>
        <v>2.27061028764948</v>
      </c>
      <c r="M28" s="1"/>
      <c r="N28" s="1">
        <f t="shared" si="4"/>
        <v>3047.668</v>
      </c>
      <c r="O28" s="1">
        <f t="shared" si="5"/>
        <v>3056.4572</v>
      </c>
      <c r="P28" s="1">
        <f t="shared" si="6"/>
        <v>2694.8702</v>
      </c>
      <c r="R28" s="2"/>
      <c r="S28" s="1">
        <v>354.38</v>
      </c>
      <c r="T28" s="1">
        <v>355.402</v>
      </c>
      <c r="U28" s="1">
        <v>313.357</v>
      </c>
      <c r="V28" s="8"/>
      <c r="W28" s="8">
        <f t="shared" si="7"/>
        <v>644.105263157895</v>
      </c>
      <c r="X28" s="8">
        <f t="shared" si="8"/>
        <v>1.81755534499096</v>
      </c>
      <c r="Y28" s="8">
        <f t="shared" si="9"/>
        <v>1.8123287521114</v>
      </c>
      <c r="Z28" s="8">
        <f t="shared" si="10"/>
        <v>2.05549983934584</v>
      </c>
      <c r="AA28" s="8"/>
      <c r="AB28" s="2"/>
      <c r="AG28" s="8">
        <f t="shared" si="11"/>
        <v>737.228915662651</v>
      </c>
    </row>
    <row r="29" ht="20.4" spans="1:33">
      <c r="A29" s="1">
        <v>12672</v>
      </c>
      <c r="B29" s="1">
        <v>64000</v>
      </c>
      <c r="C29" s="1">
        <v>1920</v>
      </c>
      <c r="D29" s="1">
        <v>5767</v>
      </c>
      <c r="E29" s="6">
        <v>80.7</v>
      </c>
      <c r="F29" s="1">
        <v>6102</v>
      </c>
      <c r="G29" s="7">
        <v>85.4</v>
      </c>
      <c r="H29" s="5">
        <v>4.7</v>
      </c>
      <c r="I29" s="8">
        <f t="shared" si="0"/>
        <v>1.05808912779608</v>
      </c>
      <c r="J29" s="8">
        <f t="shared" si="1"/>
        <v>2.01864884839094</v>
      </c>
      <c r="K29" s="8">
        <f t="shared" si="2"/>
        <v>2.00217529028261</v>
      </c>
      <c r="L29" s="8">
        <f t="shared" si="3"/>
        <v>2.24892197692846</v>
      </c>
      <c r="M29" s="1"/>
      <c r="N29" s="1">
        <f t="shared" si="4"/>
        <v>3022.814</v>
      </c>
      <c r="O29" s="1">
        <f t="shared" si="5"/>
        <v>3047.6852</v>
      </c>
      <c r="P29" s="1">
        <f t="shared" si="6"/>
        <v>2713.3</v>
      </c>
      <c r="R29" s="2"/>
      <c r="S29" s="1">
        <v>351.49</v>
      </c>
      <c r="T29" s="1">
        <v>354.382</v>
      </c>
      <c r="U29" s="1">
        <v>315.5</v>
      </c>
      <c r="V29" s="8"/>
      <c r="W29" s="8">
        <f t="shared" si="7"/>
        <v>642.315789473684</v>
      </c>
      <c r="X29" s="8">
        <f t="shared" si="8"/>
        <v>1.82740843117495</v>
      </c>
      <c r="Y29" s="8">
        <f t="shared" si="9"/>
        <v>1.81249552594004</v>
      </c>
      <c r="Z29" s="8">
        <f t="shared" si="10"/>
        <v>2.03586621069314</v>
      </c>
      <c r="AA29" s="8"/>
      <c r="AB29" s="2"/>
      <c r="AG29" s="8">
        <f t="shared" si="11"/>
        <v>735.180722891566</v>
      </c>
    </row>
    <row r="30" ht="20.4" spans="1:33">
      <c r="A30" s="1">
        <v>10368</v>
      </c>
      <c r="B30" s="1">
        <v>77824</v>
      </c>
      <c r="C30" s="1">
        <v>1920</v>
      </c>
      <c r="D30" s="1">
        <v>5622</v>
      </c>
      <c r="E30" s="6">
        <v>78.7</v>
      </c>
      <c r="F30" s="1">
        <v>6108</v>
      </c>
      <c r="G30" s="7">
        <v>85.5</v>
      </c>
      <c r="H30" s="5">
        <v>6.8</v>
      </c>
      <c r="I30" s="8">
        <f t="shared" si="0"/>
        <v>1.08644610458911</v>
      </c>
      <c r="J30" s="8">
        <f t="shared" si="1"/>
        <v>2.03908173219125</v>
      </c>
      <c r="K30" s="8">
        <f t="shared" si="2"/>
        <v>1.99447502987794</v>
      </c>
      <c r="L30" s="8">
        <f t="shared" si="3"/>
        <v>2.23832765994716</v>
      </c>
      <c r="M30" s="1"/>
      <c r="N30" s="1">
        <f t="shared" si="4"/>
        <v>2995.466</v>
      </c>
      <c r="O30" s="1">
        <f t="shared" si="5"/>
        <v>3062.46</v>
      </c>
      <c r="P30" s="1">
        <f t="shared" si="6"/>
        <v>2728.823</v>
      </c>
      <c r="R30" s="2"/>
      <c r="S30" s="1">
        <v>348.31</v>
      </c>
      <c r="T30" s="1">
        <v>356.1</v>
      </c>
      <c r="U30" s="1">
        <v>317.305</v>
      </c>
      <c r="V30" s="8"/>
      <c r="W30" s="8">
        <f t="shared" si="7"/>
        <v>642.947368421053</v>
      </c>
      <c r="X30" s="8">
        <f t="shared" si="8"/>
        <v>1.84590556808892</v>
      </c>
      <c r="Y30" s="8">
        <f t="shared" si="9"/>
        <v>1.8055247638895</v>
      </c>
      <c r="Z30" s="8">
        <f t="shared" si="10"/>
        <v>2.02627556584691</v>
      </c>
      <c r="AA30" s="8"/>
      <c r="AB30" s="2"/>
      <c r="AG30" s="8">
        <f t="shared" si="11"/>
        <v>735.903614457831</v>
      </c>
    </row>
    <row r="31" ht="20.4" spans="1:33">
      <c r="A31" s="1">
        <v>10368</v>
      </c>
      <c r="B31" s="1">
        <v>75904</v>
      </c>
      <c r="C31" s="1">
        <v>1920</v>
      </c>
      <c r="D31" s="1">
        <v>5658</v>
      </c>
      <c r="E31" s="6">
        <v>79.2</v>
      </c>
      <c r="F31" s="1">
        <v>6116</v>
      </c>
      <c r="G31" s="7">
        <v>85.6</v>
      </c>
      <c r="H31" s="5">
        <v>6.4</v>
      </c>
      <c r="I31" s="8">
        <f t="shared" si="0"/>
        <v>1.08094733121244</v>
      </c>
      <c r="J31" s="8">
        <f t="shared" si="1"/>
        <v>2.02812716582825</v>
      </c>
      <c r="K31" s="8">
        <f t="shared" si="2"/>
        <v>2.01163366295927</v>
      </c>
      <c r="L31" s="8">
        <f t="shared" si="3"/>
        <v>2.23427424920019</v>
      </c>
      <c r="M31" s="1"/>
      <c r="N31" s="1">
        <f t="shared" si="4"/>
        <v>3015.59</v>
      </c>
      <c r="O31" s="1">
        <f t="shared" si="5"/>
        <v>3040.315</v>
      </c>
      <c r="P31" s="1">
        <f t="shared" si="6"/>
        <v>2737.3542</v>
      </c>
      <c r="R31" s="2"/>
      <c r="S31" s="1">
        <v>350.65</v>
      </c>
      <c r="T31" s="1">
        <v>353.525</v>
      </c>
      <c r="U31" s="1">
        <v>318.297</v>
      </c>
      <c r="V31" s="8"/>
      <c r="W31" s="8">
        <f t="shared" si="7"/>
        <v>643.789473684211</v>
      </c>
      <c r="X31" s="8">
        <f t="shared" si="8"/>
        <v>1.83598880274978</v>
      </c>
      <c r="Y31" s="8">
        <f t="shared" si="9"/>
        <v>1.82105784225786</v>
      </c>
      <c r="Z31" s="8">
        <f t="shared" si="10"/>
        <v>2.02260616243386</v>
      </c>
      <c r="AA31" s="8"/>
      <c r="AB31" s="2"/>
      <c r="AG31" s="8">
        <f t="shared" si="11"/>
        <v>736.867469879518</v>
      </c>
    </row>
    <row r="32" ht="20.4" spans="1:33">
      <c r="A32" s="1">
        <v>10368</v>
      </c>
      <c r="B32" s="1">
        <v>80896</v>
      </c>
      <c r="C32" s="1">
        <v>1920</v>
      </c>
      <c r="D32" s="1">
        <v>5676</v>
      </c>
      <c r="E32" s="6">
        <v>79.4</v>
      </c>
      <c r="F32" s="1">
        <v>6114</v>
      </c>
      <c r="G32" s="7">
        <v>85.6</v>
      </c>
      <c r="H32" s="5">
        <v>6.2</v>
      </c>
      <c r="I32" s="8">
        <f t="shared" si="0"/>
        <v>1.07716701902748</v>
      </c>
      <c r="J32" s="8">
        <f t="shared" si="1"/>
        <v>2.00935596099076</v>
      </c>
      <c r="K32" s="8">
        <f t="shared" si="2"/>
        <v>2.00635048980679</v>
      </c>
      <c r="L32" s="8">
        <f t="shared" si="3"/>
        <v>2.29707274634771</v>
      </c>
      <c r="M32" s="1"/>
      <c r="N32" s="1">
        <f t="shared" si="4"/>
        <v>3042.766</v>
      </c>
      <c r="O32" s="1">
        <f t="shared" si="5"/>
        <v>3047.324</v>
      </c>
      <c r="P32" s="1">
        <f t="shared" si="6"/>
        <v>2661.6484</v>
      </c>
      <c r="R32" s="2"/>
      <c r="S32" s="1">
        <v>353.81</v>
      </c>
      <c r="T32" s="1">
        <v>354.34</v>
      </c>
      <c r="U32" s="1">
        <v>309.494</v>
      </c>
      <c r="V32" s="8"/>
      <c r="W32" s="8">
        <f t="shared" si="7"/>
        <v>643.578947368421</v>
      </c>
      <c r="X32" s="8">
        <f t="shared" si="8"/>
        <v>1.81899592258111</v>
      </c>
      <c r="Y32" s="8">
        <f t="shared" si="9"/>
        <v>1.81627518024615</v>
      </c>
      <c r="Z32" s="8">
        <f t="shared" si="10"/>
        <v>2.07945532827267</v>
      </c>
      <c r="AA32" s="8"/>
      <c r="AB32" s="2"/>
      <c r="AG32" s="8">
        <f t="shared" si="11"/>
        <v>736.626506024096</v>
      </c>
    </row>
    <row r="33" ht="20.4" spans="1:33">
      <c r="A33" s="1">
        <v>8064</v>
      </c>
      <c r="B33" s="1">
        <v>76288</v>
      </c>
      <c r="C33" s="1">
        <v>1920</v>
      </c>
      <c r="D33" s="1">
        <v>5485</v>
      </c>
      <c r="E33" s="6">
        <v>76.8</v>
      </c>
      <c r="F33" s="1">
        <v>6068</v>
      </c>
      <c r="G33" s="7">
        <v>84.9</v>
      </c>
      <c r="H33" s="5">
        <v>8.1</v>
      </c>
      <c r="I33" s="8">
        <f t="shared" si="0"/>
        <v>1.10628988149499</v>
      </c>
      <c r="J33" s="8">
        <f t="shared" si="1"/>
        <v>1.99683428710581</v>
      </c>
      <c r="K33" s="8">
        <f t="shared" si="2"/>
        <v>2.00204123743041</v>
      </c>
      <c r="L33" s="8">
        <f t="shared" si="3"/>
        <v>2.26662232035785</v>
      </c>
      <c r="M33" s="1"/>
      <c r="N33" s="1">
        <f t="shared" si="4"/>
        <v>3038.81</v>
      </c>
      <c r="O33" s="1">
        <f t="shared" si="5"/>
        <v>3030.9066</v>
      </c>
      <c r="P33" s="1">
        <f t="shared" si="6"/>
        <v>2677.1112</v>
      </c>
      <c r="R33" s="2"/>
      <c r="S33" s="1">
        <v>353.35</v>
      </c>
      <c r="T33" s="1">
        <v>352.431</v>
      </c>
      <c r="U33" s="1">
        <v>311.292</v>
      </c>
      <c r="V33" s="8"/>
      <c r="W33" s="8">
        <f t="shared" si="7"/>
        <v>638.736842105263</v>
      </c>
      <c r="X33" s="8">
        <f t="shared" si="8"/>
        <v>1.80766051253789</v>
      </c>
      <c r="Y33" s="8">
        <f t="shared" si="9"/>
        <v>1.81237417283174</v>
      </c>
      <c r="Z33" s="8">
        <f t="shared" si="10"/>
        <v>2.05188967948185</v>
      </c>
      <c r="AA33" s="8"/>
      <c r="AB33" s="2"/>
      <c r="AG33" s="8">
        <f t="shared" si="11"/>
        <v>731.084337349398</v>
      </c>
    </row>
    <row r="34" ht="20.4" spans="1:33">
      <c r="A34" s="1">
        <v>8064</v>
      </c>
      <c r="B34" s="1">
        <v>74752</v>
      </c>
      <c r="C34" s="1">
        <v>1920</v>
      </c>
      <c r="D34" s="1">
        <v>5472</v>
      </c>
      <c r="E34" s="6">
        <v>76.6</v>
      </c>
      <c r="F34" s="1">
        <v>6066</v>
      </c>
      <c r="G34" s="7">
        <v>84.9</v>
      </c>
      <c r="H34" s="5">
        <v>8.3</v>
      </c>
      <c r="I34" s="8">
        <f t="shared" si="0"/>
        <v>1.10855263157895</v>
      </c>
      <c r="J34" s="8">
        <f t="shared" si="1"/>
        <v>2.00976988035475</v>
      </c>
      <c r="K34" s="8">
        <f t="shared" si="2"/>
        <v>1.9840199069218</v>
      </c>
      <c r="L34" s="8">
        <f t="shared" si="3"/>
        <v>2.28373180299459</v>
      </c>
      <c r="M34" s="1"/>
      <c r="N34" s="1">
        <f t="shared" si="4"/>
        <v>3018.256</v>
      </c>
      <c r="O34" s="1">
        <f t="shared" si="5"/>
        <v>3057.429</v>
      </c>
      <c r="P34" s="1">
        <f t="shared" si="6"/>
        <v>2656.1788</v>
      </c>
      <c r="R34" s="2"/>
      <c r="S34" s="1">
        <v>350.96</v>
      </c>
      <c r="T34" s="1">
        <v>355.515</v>
      </c>
      <c r="U34" s="1">
        <v>308.858</v>
      </c>
      <c r="V34" s="8"/>
      <c r="W34" s="8">
        <f t="shared" si="7"/>
        <v>638.526315789474</v>
      </c>
      <c r="X34" s="8">
        <f t="shared" si="8"/>
        <v>1.81937062853167</v>
      </c>
      <c r="Y34" s="8">
        <f t="shared" si="9"/>
        <v>1.79606012626605</v>
      </c>
      <c r="Z34" s="8">
        <f t="shared" si="10"/>
        <v>2.06737826376352</v>
      </c>
      <c r="AA34" s="8"/>
      <c r="AB34" s="2"/>
      <c r="AG34" s="8">
        <f t="shared" si="11"/>
        <v>730.843373493976</v>
      </c>
    </row>
    <row r="35" ht="20.4" spans="1:33">
      <c r="A35" s="1">
        <v>8064</v>
      </c>
      <c r="B35" s="1">
        <v>62424</v>
      </c>
      <c r="C35" s="1">
        <v>1920</v>
      </c>
      <c r="D35" s="1">
        <v>5482</v>
      </c>
      <c r="E35" s="6">
        <v>76.7</v>
      </c>
      <c r="F35" s="1">
        <v>6071</v>
      </c>
      <c r="G35" s="7">
        <v>85</v>
      </c>
      <c r="H35" s="5">
        <v>8.3</v>
      </c>
      <c r="I35" s="8">
        <f t="shared" si="0"/>
        <v>1.10744253921926</v>
      </c>
      <c r="J35" s="8">
        <f t="shared" si="1"/>
        <v>1.9894885792017</v>
      </c>
      <c r="K35" s="8">
        <f t="shared" si="2"/>
        <v>2.00001199150659</v>
      </c>
      <c r="L35" s="8">
        <f t="shared" si="3"/>
        <v>2.25251113622064</v>
      </c>
      <c r="M35" s="1"/>
      <c r="N35" s="1">
        <f t="shared" si="4"/>
        <v>3051.538</v>
      </c>
      <c r="O35" s="1">
        <f t="shared" si="5"/>
        <v>3035.4818</v>
      </c>
      <c r="P35" s="1">
        <f t="shared" si="6"/>
        <v>2695.2142</v>
      </c>
      <c r="R35" s="2"/>
      <c r="S35" s="1">
        <v>354.83</v>
      </c>
      <c r="T35" s="1">
        <v>352.963</v>
      </c>
      <c r="U35" s="1">
        <v>313.397</v>
      </c>
      <c r="V35" s="8"/>
      <c r="W35" s="8">
        <f t="shared" si="7"/>
        <v>639.052631578947</v>
      </c>
      <c r="X35" s="8">
        <f t="shared" si="8"/>
        <v>1.80101071380365</v>
      </c>
      <c r="Y35" s="8">
        <f t="shared" si="9"/>
        <v>1.81053717125859</v>
      </c>
      <c r="Z35" s="8">
        <f t="shared" si="10"/>
        <v>2.03911534436816</v>
      </c>
      <c r="AA35" s="8"/>
      <c r="AB35" s="2"/>
      <c r="AG35" s="8">
        <f t="shared" si="11"/>
        <v>731.44578313253</v>
      </c>
    </row>
    <row r="36" ht="20.4" spans="1:40">
      <c r="A36" s="2"/>
      <c r="B36" s="2"/>
      <c r="C36" s="2"/>
      <c r="D36" s="2"/>
      <c r="E36" s="2"/>
      <c r="F36" s="2"/>
      <c r="G36" s="2"/>
      <c r="H36" s="2"/>
      <c r="I36" s="9"/>
      <c r="J36" s="9"/>
      <c r="K36" s="9"/>
      <c r="L36" s="9"/>
      <c r="M36" s="10"/>
      <c r="N36" s="10"/>
      <c r="O36" s="10"/>
      <c r="P36" s="10"/>
      <c r="Q36" s="2"/>
      <c r="R36" s="2"/>
      <c r="S36" s="2"/>
      <c r="T36" s="10"/>
      <c r="U36" s="10"/>
      <c r="V36" s="9"/>
      <c r="W36" s="9"/>
      <c r="X36" s="9"/>
      <c r="Y36" s="9"/>
      <c r="Z36" s="9"/>
      <c r="AA36" s="9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20.4" spans="1:33">
      <c r="A37" s="1">
        <v>13440</v>
      </c>
      <c r="B37" s="1">
        <v>28288</v>
      </c>
      <c r="C37" s="1">
        <v>1920</v>
      </c>
      <c r="D37" s="1">
        <v>5532</v>
      </c>
      <c r="E37" s="6">
        <v>77.4</v>
      </c>
      <c r="F37" s="1">
        <v>5972</v>
      </c>
      <c r="G37" s="7">
        <v>83.6</v>
      </c>
      <c r="H37" s="5">
        <v>6.1</v>
      </c>
      <c r="I37" s="8">
        <f t="shared" si="0"/>
        <v>1.07953723788865</v>
      </c>
      <c r="J37" s="8">
        <f t="shared" si="1"/>
        <v>1.98535781985637</v>
      </c>
      <c r="K37" s="8">
        <f t="shared" si="2"/>
        <v>1.97106664277975</v>
      </c>
      <c r="L37" s="8">
        <f t="shared" si="3"/>
        <v>2.25201750147935</v>
      </c>
      <c r="M37" s="1"/>
      <c r="N37" s="1">
        <f t="shared" ref="N37:N53" si="12">S37*8.6</f>
        <v>3008.022</v>
      </c>
      <c r="O37" s="1">
        <f t="shared" si="5"/>
        <v>3029.8316</v>
      </c>
      <c r="P37" s="1">
        <f t="shared" si="6"/>
        <v>2651.8444</v>
      </c>
      <c r="R37" s="2"/>
      <c r="S37" s="1">
        <v>349.77</v>
      </c>
      <c r="T37" s="1">
        <v>352.306</v>
      </c>
      <c r="U37" s="1">
        <v>308.354</v>
      </c>
      <c r="V37" s="8"/>
      <c r="W37" s="8">
        <f t="shared" si="7"/>
        <v>628.631578947368</v>
      </c>
      <c r="X37" s="8">
        <f t="shared" si="8"/>
        <v>1.79727128955419</v>
      </c>
      <c r="Y37" s="8">
        <f t="shared" si="9"/>
        <v>1.78433401346377</v>
      </c>
      <c r="Z37" s="8">
        <f t="shared" si="10"/>
        <v>2.03866847502341</v>
      </c>
      <c r="AA37" s="8"/>
      <c r="AB37" s="2"/>
      <c r="AG37" s="8">
        <f t="shared" si="11"/>
        <v>719.518072289157</v>
      </c>
    </row>
    <row r="38" ht="20.4" spans="1:33">
      <c r="A38" s="1">
        <v>13440</v>
      </c>
      <c r="B38" s="1">
        <v>25216</v>
      </c>
      <c r="C38" s="1">
        <v>1920</v>
      </c>
      <c r="D38" s="1">
        <v>5520</v>
      </c>
      <c r="E38" s="6">
        <v>77.2</v>
      </c>
      <c r="F38" s="1">
        <v>5964</v>
      </c>
      <c r="G38" s="7">
        <v>83.5</v>
      </c>
      <c r="H38" s="5">
        <v>6.2</v>
      </c>
      <c r="I38" s="8">
        <f t="shared" si="0"/>
        <v>1.0804347826087</v>
      </c>
      <c r="J38" s="8">
        <f t="shared" si="1"/>
        <v>1.96266590845368</v>
      </c>
      <c r="K38" s="8">
        <f t="shared" si="2"/>
        <v>1.96573685072345</v>
      </c>
      <c r="L38" s="8">
        <f t="shared" si="3"/>
        <v>2.25324629546134</v>
      </c>
      <c r="M38" s="1"/>
      <c r="N38" s="1">
        <f t="shared" si="12"/>
        <v>3038.724</v>
      </c>
      <c r="O38" s="1">
        <f t="shared" si="5"/>
        <v>3033.9768</v>
      </c>
      <c r="P38" s="1">
        <f t="shared" si="6"/>
        <v>2646.8478</v>
      </c>
      <c r="R38" s="2"/>
      <c r="S38" s="1">
        <v>353.34</v>
      </c>
      <c r="T38" s="1">
        <v>352.788</v>
      </c>
      <c r="U38" s="1">
        <v>307.773</v>
      </c>
      <c r="V38" s="8"/>
      <c r="W38" s="8">
        <f t="shared" si="7"/>
        <v>627.789473684211</v>
      </c>
      <c r="X38" s="8">
        <f t="shared" si="8"/>
        <v>1.77672913817912</v>
      </c>
      <c r="Y38" s="8">
        <f t="shared" si="9"/>
        <v>1.77950914907596</v>
      </c>
      <c r="Z38" s="8">
        <f t="shared" si="10"/>
        <v>2.03978085694395</v>
      </c>
      <c r="AA38" s="8"/>
      <c r="AB38" s="2"/>
      <c r="AG38" s="8">
        <f t="shared" si="11"/>
        <v>718.55421686747</v>
      </c>
    </row>
    <row r="39" ht="20.4" spans="1:33">
      <c r="A39" s="1">
        <v>13440</v>
      </c>
      <c r="B39" s="1">
        <v>22144</v>
      </c>
      <c r="C39" s="1">
        <v>1920</v>
      </c>
      <c r="D39" s="1">
        <v>5420</v>
      </c>
      <c r="E39" s="6">
        <v>75.8</v>
      </c>
      <c r="F39" s="1">
        <v>5954</v>
      </c>
      <c r="G39" s="7">
        <v>83.3</v>
      </c>
      <c r="H39" s="5">
        <v>7.5</v>
      </c>
      <c r="I39" s="8">
        <f t="shared" si="0"/>
        <v>1.09852398523985</v>
      </c>
      <c r="J39" s="8">
        <f t="shared" si="1"/>
        <v>1.9690716194407</v>
      </c>
      <c r="K39" s="8">
        <f t="shared" si="2"/>
        <v>1.95982432548173</v>
      </c>
      <c r="L39" s="8">
        <f t="shared" si="3"/>
        <v>2.17431427116321</v>
      </c>
      <c r="M39" s="1"/>
      <c r="N39" s="1">
        <f t="shared" si="12"/>
        <v>3023.76</v>
      </c>
      <c r="O39" s="1">
        <f t="shared" si="5"/>
        <v>3038.0274</v>
      </c>
      <c r="P39" s="1">
        <f t="shared" si="6"/>
        <v>2738.3346</v>
      </c>
      <c r="R39" s="2"/>
      <c r="S39" s="1">
        <v>351.6</v>
      </c>
      <c r="T39" s="1">
        <v>353.259</v>
      </c>
      <c r="U39" s="1">
        <v>318.411</v>
      </c>
      <c r="V39" s="8"/>
      <c r="W39" s="8">
        <f t="shared" si="7"/>
        <v>626.736842105263</v>
      </c>
      <c r="X39" s="8">
        <f t="shared" si="8"/>
        <v>1.78252799233579</v>
      </c>
      <c r="Y39" s="8">
        <f t="shared" si="9"/>
        <v>1.77415675780451</v>
      </c>
      <c r="Z39" s="8">
        <f t="shared" si="10"/>
        <v>1.9683266033688</v>
      </c>
      <c r="AA39" s="8"/>
      <c r="AB39" s="2"/>
      <c r="AG39" s="8">
        <f t="shared" si="11"/>
        <v>717.349397590361</v>
      </c>
    </row>
    <row r="40" ht="20.4" spans="1:33">
      <c r="A40" s="1">
        <v>13440</v>
      </c>
      <c r="B40" s="1">
        <v>17152</v>
      </c>
      <c r="C40" s="1">
        <v>1920</v>
      </c>
      <c r="D40" s="1">
        <v>5434</v>
      </c>
      <c r="E40" s="6">
        <v>76</v>
      </c>
      <c r="F40" s="1">
        <v>5885</v>
      </c>
      <c r="G40" s="7">
        <v>82.3</v>
      </c>
      <c r="H40" s="5">
        <v>6.3</v>
      </c>
      <c r="I40" s="8">
        <f t="shared" si="0"/>
        <v>1.082995951417</v>
      </c>
      <c r="J40" s="8">
        <f t="shared" si="1"/>
        <v>1.9501904459557</v>
      </c>
      <c r="K40" s="8">
        <f t="shared" si="2"/>
        <v>1.94114552324344</v>
      </c>
      <c r="L40" s="8">
        <f t="shared" si="3"/>
        <v>2.22078019310108</v>
      </c>
      <c r="M40" s="1"/>
      <c r="N40" s="1">
        <f t="shared" si="12"/>
        <v>3017.654</v>
      </c>
      <c r="O40" s="1">
        <f t="shared" si="5"/>
        <v>3031.715</v>
      </c>
      <c r="P40" s="1">
        <f t="shared" si="6"/>
        <v>2649.9696</v>
      </c>
      <c r="R40" s="2"/>
      <c r="S40" s="1">
        <v>350.89</v>
      </c>
      <c r="T40" s="1">
        <v>352.525</v>
      </c>
      <c r="U40" s="1">
        <v>308.136</v>
      </c>
      <c r="V40" s="8"/>
      <c r="W40" s="8">
        <f t="shared" si="7"/>
        <v>619.473684210526</v>
      </c>
      <c r="X40" s="8">
        <f t="shared" si="8"/>
        <v>1.765435561602</v>
      </c>
      <c r="Y40" s="8">
        <f t="shared" si="9"/>
        <v>1.75724752630459</v>
      </c>
      <c r="Z40" s="8">
        <f t="shared" si="10"/>
        <v>2.01039049059677</v>
      </c>
      <c r="AA40" s="8"/>
      <c r="AB40" s="2"/>
      <c r="AG40" s="8">
        <f t="shared" si="11"/>
        <v>709.036144578313</v>
      </c>
    </row>
    <row r="41" ht="20.4" spans="1:33">
      <c r="A41" s="1">
        <v>13440</v>
      </c>
      <c r="B41" s="1">
        <v>14080</v>
      </c>
      <c r="C41" s="1">
        <v>1920</v>
      </c>
      <c r="D41" s="1">
        <v>5188</v>
      </c>
      <c r="E41" s="6">
        <v>72.6</v>
      </c>
      <c r="F41" s="1">
        <v>5824</v>
      </c>
      <c r="G41" s="7">
        <v>81.5</v>
      </c>
      <c r="H41" s="5">
        <v>8.9</v>
      </c>
      <c r="I41" s="8">
        <f t="shared" si="0"/>
        <v>1.12259059367772</v>
      </c>
      <c r="J41" s="8">
        <f t="shared" si="1"/>
        <v>1.93041618632759</v>
      </c>
      <c r="K41" s="8">
        <f t="shared" si="2"/>
        <v>1.9226774657051</v>
      </c>
      <c r="L41" s="8">
        <f t="shared" si="3"/>
        <v>2.13348697565546</v>
      </c>
      <c r="M41" s="1"/>
      <c r="N41" s="1">
        <f t="shared" si="12"/>
        <v>3016.966</v>
      </c>
      <c r="O41" s="1">
        <f t="shared" si="5"/>
        <v>3029.1092</v>
      </c>
      <c r="P41" s="1">
        <f t="shared" si="6"/>
        <v>2729.8034</v>
      </c>
      <c r="R41" s="2"/>
      <c r="S41" s="1">
        <v>350.81</v>
      </c>
      <c r="T41" s="1">
        <v>352.222</v>
      </c>
      <c r="U41" s="1">
        <v>317.419</v>
      </c>
      <c r="V41" s="8"/>
      <c r="W41" s="8">
        <f t="shared" si="7"/>
        <v>613.052631578947</v>
      </c>
      <c r="X41" s="8">
        <f t="shared" si="8"/>
        <v>1.74753465288603</v>
      </c>
      <c r="Y41" s="8">
        <f t="shared" si="9"/>
        <v>1.74052907421725</v>
      </c>
      <c r="Z41" s="8">
        <f t="shared" si="10"/>
        <v>1.93136715690916</v>
      </c>
      <c r="AA41" s="8"/>
      <c r="AB41" s="2"/>
      <c r="AG41" s="8">
        <f t="shared" si="11"/>
        <v>701.686746987952</v>
      </c>
    </row>
    <row r="42" ht="20.4" spans="1:33">
      <c r="A42" s="1">
        <v>13056</v>
      </c>
      <c r="B42" s="1">
        <v>14080</v>
      </c>
      <c r="C42" s="1">
        <v>1920</v>
      </c>
      <c r="D42" s="1">
        <v>5045</v>
      </c>
      <c r="E42" s="6">
        <v>70.6</v>
      </c>
      <c r="F42" s="1">
        <v>5597</v>
      </c>
      <c r="G42" s="7">
        <v>78.3</v>
      </c>
      <c r="H42" s="5">
        <v>7.7</v>
      </c>
      <c r="I42" s="8">
        <f t="shared" si="0"/>
        <v>1.10941526263627</v>
      </c>
      <c r="J42" s="8">
        <f t="shared" si="1"/>
        <v>1.85586276231428</v>
      </c>
      <c r="K42" s="8">
        <f t="shared" si="2"/>
        <v>1.84790058090176</v>
      </c>
      <c r="L42" s="8">
        <f t="shared" si="3"/>
        <v>2.09069984094694</v>
      </c>
      <c r="M42" s="1"/>
      <c r="N42" s="1">
        <f t="shared" si="12"/>
        <v>3015.848</v>
      </c>
      <c r="O42" s="1">
        <f t="shared" si="5"/>
        <v>3028.8426</v>
      </c>
      <c r="P42" s="1">
        <f t="shared" si="6"/>
        <v>2677.094</v>
      </c>
      <c r="R42" s="2"/>
      <c r="S42" s="1">
        <v>350.68</v>
      </c>
      <c r="T42" s="1">
        <v>352.191</v>
      </c>
      <c r="U42" s="1">
        <v>311.29</v>
      </c>
      <c r="V42" s="8"/>
      <c r="W42" s="8">
        <f t="shared" si="7"/>
        <v>589.157894736842</v>
      </c>
      <c r="X42" s="8">
        <f t="shared" si="8"/>
        <v>1.68004418483188</v>
      </c>
      <c r="Y42" s="8">
        <f t="shared" si="9"/>
        <v>1.67283631534265</v>
      </c>
      <c r="Z42" s="8">
        <f t="shared" si="10"/>
        <v>1.89263354022565</v>
      </c>
      <c r="AA42" s="8"/>
      <c r="AB42" s="2"/>
      <c r="AG42" s="8">
        <f t="shared" si="11"/>
        <v>674.33734939759</v>
      </c>
    </row>
    <row r="43" ht="20.4" spans="1:33">
      <c r="A43" s="1">
        <v>13056</v>
      </c>
      <c r="B43" s="1">
        <v>17152</v>
      </c>
      <c r="C43" s="1">
        <v>1920</v>
      </c>
      <c r="D43" s="1">
        <v>5232</v>
      </c>
      <c r="E43" s="6">
        <v>73.2</v>
      </c>
      <c r="F43" s="1">
        <v>5706</v>
      </c>
      <c r="G43" s="7">
        <v>79.8</v>
      </c>
      <c r="H43" s="5">
        <v>6.6</v>
      </c>
      <c r="I43" s="8">
        <f t="shared" si="0"/>
        <v>1.09059633027523</v>
      </c>
      <c r="J43" s="8">
        <f t="shared" si="1"/>
        <v>1.88614257069399</v>
      </c>
      <c r="K43" s="8">
        <f t="shared" si="2"/>
        <v>1.87934153089857</v>
      </c>
      <c r="L43" s="8">
        <f t="shared" si="3"/>
        <v>2.12308805799803</v>
      </c>
      <c r="M43" s="1"/>
      <c r="N43" s="1">
        <f t="shared" si="12"/>
        <v>3025.222</v>
      </c>
      <c r="O43" s="1">
        <f t="shared" si="5"/>
        <v>3036.1698</v>
      </c>
      <c r="P43" s="1">
        <f t="shared" si="6"/>
        <v>2687.5946</v>
      </c>
      <c r="R43" s="2"/>
      <c r="S43" s="1">
        <v>351.77</v>
      </c>
      <c r="T43" s="1">
        <v>353.043</v>
      </c>
      <c r="U43" s="1">
        <v>312.511</v>
      </c>
      <c r="V43" s="8"/>
      <c r="W43" s="8">
        <f t="shared" si="7"/>
        <v>600.631578947368</v>
      </c>
      <c r="X43" s="8">
        <f t="shared" si="8"/>
        <v>1.70745537978613</v>
      </c>
      <c r="Y43" s="8">
        <f t="shared" si="9"/>
        <v>1.70129864902397</v>
      </c>
      <c r="Z43" s="8">
        <f t="shared" si="10"/>
        <v>1.9219533998719</v>
      </c>
      <c r="AA43" s="8"/>
      <c r="AB43" s="2"/>
      <c r="AG43" s="8">
        <f t="shared" si="11"/>
        <v>687.469879518072</v>
      </c>
    </row>
    <row r="44" ht="20.4" spans="1:33">
      <c r="A44" s="1">
        <v>13056</v>
      </c>
      <c r="B44" s="1">
        <v>28288</v>
      </c>
      <c r="C44" s="1">
        <v>1920</v>
      </c>
      <c r="D44" s="1">
        <v>5380</v>
      </c>
      <c r="E44" s="6">
        <v>75.3</v>
      </c>
      <c r="F44" s="1">
        <v>5832</v>
      </c>
      <c r="G44" s="7">
        <v>81.6</v>
      </c>
      <c r="H44" s="5">
        <v>6.3</v>
      </c>
      <c r="I44" s="8">
        <f t="shared" si="0"/>
        <v>1.08401486988848</v>
      </c>
      <c r="J44" s="8">
        <f t="shared" si="1"/>
        <v>1.93323318000947</v>
      </c>
      <c r="K44" s="8">
        <f t="shared" si="2"/>
        <v>1.92907015444668</v>
      </c>
      <c r="L44" s="8">
        <f t="shared" si="3"/>
        <v>2.17174220794387</v>
      </c>
      <c r="M44" s="1"/>
      <c r="N44" s="1">
        <f t="shared" si="12"/>
        <v>3016.708</v>
      </c>
      <c r="O44" s="1">
        <f t="shared" si="5"/>
        <v>3023.2182</v>
      </c>
      <c r="P44" s="1">
        <f t="shared" si="6"/>
        <v>2685.4016</v>
      </c>
      <c r="R44" s="2"/>
      <c r="S44" s="1">
        <v>350.78</v>
      </c>
      <c r="T44" s="1">
        <v>351.537</v>
      </c>
      <c r="U44" s="1">
        <v>312.256</v>
      </c>
      <c r="V44" s="8"/>
      <c r="W44" s="8">
        <f t="shared" si="7"/>
        <v>613.894736842105</v>
      </c>
      <c r="X44" s="8">
        <f t="shared" si="8"/>
        <v>1.75008477348225</v>
      </c>
      <c r="Y44" s="8">
        <f t="shared" si="9"/>
        <v>1.74631613981489</v>
      </c>
      <c r="Z44" s="8">
        <f t="shared" si="10"/>
        <v>1.96599820929656</v>
      </c>
      <c r="AA44" s="8"/>
      <c r="AB44" s="2"/>
      <c r="AG44" s="8">
        <f t="shared" si="11"/>
        <v>702.650602409639</v>
      </c>
    </row>
    <row r="45" ht="20.4" spans="1:33">
      <c r="A45" s="1">
        <v>13056</v>
      </c>
      <c r="B45" s="1">
        <v>20224</v>
      </c>
      <c r="C45" s="1">
        <v>1920</v>
      </c>
      <c r="D45" s="1">
        <v>5324</v>
      </c>
      <c r="E45" s="6">
        <v>74.5</v>
      </c>
      <c r="F45" s="1">
        <v>5770</v>
      </c>
      <c r="G45" s="7">
        <v>80.7</v>
      </c>
      <c r="H45" s="5">
        <v>6.2</v>
      </c>
      <c r="I45" s="8">
        <f t="shared" si="0"/>
        <v>1.08377160030053</v>
      </c>
      <c r="J45" s="8">
        <f t="shared" si="1"/>
        <v>1.90811169034224</v>
      </c>
      <c r="K45" s="8">
        <f t="shared" si="2"/>
        <v>1.90065221687858</v>
      </c>
      <c r="L45" s="8">
        <f t="shared" si="3"/>
        <v>2.12928832025205</v>
      </c>
      <c r="M45" s="1"/>
      <c r="N45" s="1">
        <f t="shared" si="12"/>
        <v>3023.932</v>
      </c>
      <c r="O45" s="1">
        <f t="shared" si="5"/>
        <v>3035.8</v>
      </c>
      <c r="P45" s="1">
        <f t="shared" si="6"/>
        <v>2709.8256</v>
      </c>
      <c r="R45" s="2"/>
      <c r="S45" s="1">
        <v>351.62</v>
      </c>
      <c r="T45" s="1">
        <v>353</v>
      </c>
      <c r="U45" s="1">
        <v>315.096</v>
      </c>
      <c r="V45" s="8"/>
      <c r="W45" s="8">
        <f t="shared" si="7"/>
        <v>607.368421052632</v>
      </c>
      <c r="X45" s="8">
        <f t="shared" si="8"/>
        <v>1.72734321441508</v>
      </c>
      <c r="Y45" s="8">
        <f t="shared" si="9"/>
        <v>1.72059042791114</v>
      </c>
      <c r="Z45" s="8">
        <f t="shared" si="10"/>
        <v>1.92756626885975</v>
      </c>
      <c r="AA45" s="8"/>
      <c r="AB45" s="2"/>
      <c r="AG45" s="8">
        <f t="shared" si="11"/>
        <v>695.180722891566</v>
      </c>
    </row>
    <row r="46" ht="20.4" spans="1:33">
      <c r="A46" s="1">
        <v>13056</v>
      </c>
      <c r="B46" s="1">
        <v>25216</v>
      </c>
      <c r="C46" s="1">
        <v>1920</v>
      </c>
      <c r="D46" s="1">
        <v>5374</v>
      </c>
      <c r="E46" s="6">
        <v>75.2</v>
      </c>
      <c r="F46" s="1">
        <v>5809</v>
      </c>
      <c r="G46" s="7">
        <v>81.3</v>
      </c>
      <c r="H46" s="5">
        <v>6</v>
      </c>
      <c r="I46" s="8">
        <f t="shared" si="0"/>
        <v>1.08094529214738</v>
      </c>
      <c r="J46" s="8">
        <f t="shared" si="1"/>
        <v>1.91833550958243</v>
      </c>
      <c r="K46" s="8">
        <f t="shared" si="2"/>
        <v>1.91193361887596</v>
      </c>
      <c r="L46" s="8">
        <f t="shared" si="3"/>
        <v>2.17388473239101</v>
      </c>
      <c r="M46" s="1"/>
      <c r="N46" s="1">
        <f t="shared" si="12"/>
        <v>3028.146</v>
      </c>
      <c r="O46" s="1">
        <f t="shared" si="5"/>
        <v>3038.2854</v>
      </c>
      <c r="P46" s="1">
        <f t="shared" si="6"/>
        <v>2672.1748</v>
      </c>
      <c r="R46" s="2"/>
      <c r="S46" s="1">
        <v>352.11</v>
      </c>
      <c r="T46" s="1">
        <v>353.289</v>
      </c>
      <c r="U46" s="1">
        <v>310.718</v>
      </c>
      <c r="V46" s="8"/>
      <c r="W46" s="8">
        <f t="shared" si="7"/>
        <v>611.473684210526</v>
      </c>
      <c r="X46" s="8">
        <f t="shared" si="8"/>
        <v>1.7365984613062</v>
      </c>
      <c r="Y46" s="8">
        <f t="shared" si="9"/>
        <v>1.73080306550877</v>
      </c>
      <c r="Z46" s="8">
        <f t="shared" si="10"/>
        <v>1.96793775774344</v>
      </c>
      <c r="AA46" s="8"/>
      <c r="AB46" s="2"/>
      <c r="AG46" s="8">
        <f t="shared" si="11"/>
        <v>699.879518072289</v>
      </c>
    </row>
    <row r="47" ht="20.4" spans="1:33">
      <c r="A47" s="1">
        <v>12672</v>
      </c>
      <c r="B47" s="1">
        <v>11008</v>
      </c>
      <c r="C47" s="1">
        <v>1920</v>
      </c>
      <c r="D47" s="1">
        <v>4775</v>
      </c>
      <c r="E47" s="6">
        <v>66.8</v>
      </c>
      <c r="F47" s="1">
        <v>5455</v>
      </c>
      <c r="G47" s="7">
        <v>76.3</v>
      </c>
      <c r="H47" s="5">
        <v>9.5</v>
      </c>
      <c r="I47" s="8">
        <f t="shared" si="0"/>
        <v>1.14240837696335</v>
      </c>
      <c r="J47" s="8">
        <f t="shared" si="1"/>
        <v>1.80903609383508</v>
      </c>
      <c r="K47" s="8">
        <f t="shared" si="2"/>
        <v>1.80215395555119</v>
      </c>
      <c r="L47" s="8">
        <f t="shared" si="3"/>
        <v>2.0402527085804</v>
      </c>
      <c r="M47" s="1"/>
      <c r="N47" s="1">
        <f t="shared" si="12"/>
        <v>3015.418</v>
      </c>
      <c r="O47" s="1">
        <f t="shared" si="5"/>
        <v>3026.9334</v>
      </c>
      <c r="P47" s="1">
        <f t="shared" si="6"/>
        <v>2673.6884</v>
      </c>
      <c r="R47" s="2"/>
      <c r="S47" s="1">
        <v>350.63</v>
      </c>
      <c r="T47" s="1">
        <v>351.969</v>
      </c>
      <c r="U47" s="1">
        <v>310.894</v>
      </c>
      <c r="V47" s="8"/>
      <c r="W47" s="8">
        <f t="shared" si="7"/>
        <v>574.210526315789</v>
      </c>
      <c r="X47" s="8">
        <f t="shared" si="8"/>
        <v>1.63765372705071</v>
      </c>
      <c r="Y47" s="8">
        <f t="shared" si="9"/>
        <v>1.63142358081476</v>
      </c>
      <c r="Z47" s="8">
        <f t="shared" si="10"/>
        <v>1.84696560987278</v>
      </c>
      <c r="AA47" s="8"/>
      <c r="AB47" s="2"/>
      <c r="AG47" s="8">
        <f t="shared" si="11"/>
        <v>657.228915662651</v>
      </c>
    </row>
    <row r="48" ht="20.4" spans="1:33">
      <c r="A48" s="1">
        <v>12672</v>
      </c>
      <c r="B48" s="1">
        <v>16000</v>
      </c>
      <c r="C48" s="1">
        <v>1920</v>
      </c>
      <c r="D48" s="1">
        <v>4858</v>
      </c>
      <c r="E48" s="6">
        <v>68</v>
      </c>
      <c r="F48" s="1">
        <v>5504</v>
      </c>
      <c r="G48" s="7">
        <v>77</v>
      </c>
      <c r="H48" s="5">
        <v>9</v>
      </c>
      <c r="I48" s="8">
        <f t="shared" si="0"/>
        <v>1.1329765335529</v>
      </c>
      <c r="J48" s="8">
        <f t="shared" si="1"/>
        <v>1.81766543595569</v>
      </c>
      <c r="K48" s="8">
        <f t="shared" si="2"/>
        <v>1.81391499540853</v>
      </c>
      <c r="L48" s="8">
        <f t="shared" si="3"/>
        <v>2.05533342967709</v>
      </c>
      <c r="M48" s="1"/>
      <c r="N48" s="1">
        <f t="shared" si="12"/>
        <v>3028.06</v>
      </c>
      <c r="O48" s="1">
        <f t="shared" si="5"/>
        <v>3034.3208</v>
      </c>
      <c r="P48" s="1">
        <f t="shared" si="6"/>
        <v>2677.911</v>
      </c>
      <c r="R48" s="2"/>
      <c r="S48" s="1">
        <v>352.1</v>
      </c>
      <c r="T48" s="1">
        <v>352.828</v>
      </c>
      <c r="U48" s="1">
        <v>311.385</v>
      </c>
      <c r="V48" s="8"/>
      <c r="W48" s="8">
        <f t="shared" si="7"/>
        <v>579.368421052632</v>
      </c>
      <c r="X48" s="8">
        <f t="shared" si="8"/>
        <v>1.64546555254937</v>
      </c>
      <c r="Y48" s="8">
        <f t="shared" si="9"/>
        <v>1.64207041689614</v>
      </c>
      <c r="Z48" s="8">
        <f t="shared" si="10"/>
        <v>1.8606176310761</v>
      </c>
      <c r="AA48" s="8"/>
      <c r="AB48" s="2"/>
      <c r="AG48" s="8">
        <f t="shared" si="11"/>
        <v>663.132530120482</v>
      </c>
    </row>
    <row r="49" ht="20.4" spans="1:33">
      <c r="A49" s="1">
        <v>12672</v>
      </c>
      <c r="B49" s="1">
        <v>19072</v>
      </c>
      <c r="C49" s="1">
        <v>1920</v>
      </c>
      <c r="D49" s="1">
        <v>4987</v>
      </c>
      <c r="E49" s="6">
        <v>69.8</v>
      </c>
      <c r="F49" s="1">
        <v>5575</v>
      </c>
      <c r="G49" s="7">
        <v>78</v>
      </c>
      <c r="H49" s="5">
        <v>8.2</v>
      </c>
      <c r="I49" s="8">
        <f t="shared" si="0"/>
        <v>1.11790655704833</v>
      </c>
      <c r="J49" s="8">
        <f t="shared" si="1"/>
        <v>1.85205363680215</v>
      </c>
      <c r="K49" s="8">
        <f t="shared" si="2"/>
        <v>1.83512946698492</v>
      </c>
      <c r="L49" s="8">
        <f t="shared" si="3"/>
        <v>2.08428980114941</v>
      </c>
      <c r="M49" s="1"/>
      <c r="N49" s="1">
        <f t="shared" si="12"/>
        <v>3010.172</v>
      </c>
      <c r="O49" s="1">
        <f t="shared" si="5"/>
        <v>3037.9328</v>
      </c>
      <c r="P49" s="1">
        <f t="shared" si="6"/>
        <v>2674.772</v>
      </c>
      <c r="R49" s="2"/>
      <c r="S49" s="1">
        <v>350.02</v>
      </c>
      <c r="T49" s="1">
        <v>353.248</v>
      </c>
      <c r="U49" s="1">
        <v>311.02</v>
      </c>
      <c r="V49" s="8"/>
      <c r="W49" s="8">
        <f t="shared" si="7"/>
        <v>586.842105263158</v>
      </c>
      <c r="X49" s="8">
        <f t="shared" si="8"/>
        <v>1.67659592384195</v>
      </c>
      <c r="Y49" s="8">
        <f t="shared" si="9"/>
        <v>1.66127509642845</v>
      </c>
      <c r="Z49" s="8">
        <f t="shared" si="10"/>
        <v>1.8868307673563</v>
      </c>
      <c r="AA49" s="8"/>
      <c r="AB49" s="2"/>
      <c r="AG49" s="8">
        <f t="shared" si="11"/>
        <v>671.686746987952</v>
      </c>
    </row>
    <row r="50" ht="20.4" spans="1:33">
      <c r="A50" s="1">
        <v>12672</v>
      </c>
      <c r="B50" s="1">
        <v>5632</v>
      </c>
      <c r="C50" s="1">
        <v>1920</v>
      </c>
      <c r="D50" s="1">
        <v>4571</v>
      </c>
      <c r="E50" s="6">
        <v>63.9</v>
      </c>
      <c r="F50" s="1">
        <v>5130</v>
      </c>
      <c r="G50" s="7">
        <v>71.8</v>
      </c>
      <c r="H50" s="5">
        <v>7.8</v>
      </c>
      <c r="I50" s="8">
        <f t="shared" si="0"/>
        <v>1.12229271494203</v>
      </c>
      <c r="J50" s="8">
        <f t="shared" si="1"/>
        <v>1.6876832024529</v>
      </c>
      <c r="K50" s="8">
        <f t="shared" si="2"/>
        <v>1.68892080462689</v>
      </c>
      <c r="L50" s="8">
        <f t="shared" si="3"/>
        <v>1.92245743574308</v>
      </c>
      <c r="M50" s="1"/>
      <c r="N50" s="1">
        <f t="shared" si="12"/>
        <v>3039.67</v>
      </c>
      <c r="O50" s="1">
        <f t="shared" si="5"/>
        <v>3037.4426</v>
      </c>
      <c r="P50" s="1">
        <f t="shared" si="6"/>
        <v>2668.4596</v>
      </c>
      <c r="R50" s="2"/>
      <c r="S50" s="1">
        <v>353.45</v>
      </c>
      <c r="T50" s="1">
        <v>353.191</v>
      </c>
      <c r="U50" s="1">
        <v>310.286</v>
      </c>
      <c r="V50" s="8"/>
      <c r="W50" s="8">
        <f t="shared" si="7"/>
        <v>540</v>
      </c>
      <c r="X50" s="8">
        <f t="shared" si="8"/>
        <v>1.52779742537841</v>
      </c>
      <c r="Y50" s="8">
        <f t="shared" si="9"/>
        <v>1.52891778103066</v>
      </c>
      <c r="Z50" s="8">
        <f t="shared" si="10"/>
        <v>1.740329889199</v>
      </c>
      <c r="AA50" s="8"/>
      <c r="AB50" s="2"/>
      <c r="AG50" s="8">
        <f t="shared" si="11"/>
        <v>618.072289156626</v>
      </c>
    </row>
    <row r="51" ht="20.4" spans="1:33">
      <c r="A51" s="1">
        <v>12672</v>
      </c>
      <c r="B51" s="1">
        <v>14080</v>
      </c>
      <c r="C51" s="1">
        <v>1920</v>
      </c>
      <c r="D51" s="1">
        <v>4982</v>
      </c>
      <c r="E51" s="6">
        <v>69.7</v>
      </c>
      <c r="F51" s="1">
        <v>5506</v>
      </c>
      <c r="G51" s="7">
        <v>77.1</v>
      </c>
      <c r="H51" s="5">
        <v>7.3</v>
      </c>
      <c r="I51" s="8">
        <f t="shared" si="0"/>
        <v>1.10517864311521</v>
      </c>
      <c r="J51" s="8">
        <f t="shared" si="1"/>
        <v>1.82158522246432</v>
      </c>
      <c r="K51" s="8">
        <f t="shared" si="2"/>
        <v>1.81603074257055</v>
      </c>
      <c r="L51" s="8">
        <f t="shared" si="3"/>
        <v>2.05753397117136</v>
      </c>
      <c r="M51" s="1"/>
      <c r="N51" s="1">
        <f t="shared" si="12"/>
        <v>3022.642</v>
      </c>
      <c r="O51" s="1">
        <f t="shared" si="5"/>
        <v>3031.887</v>
      </c>
      <c r="P51" s="1">
        <f t="shared" si="6"/>
        <v>2676.019</v>
      </c>
      <c r="R51" s="2"/>
      <c r="S51" s="1">
        <v>351.47</v>
      </c>
      <c r="T51" s="1">
        <v>352.545</v>
      </c>
      <c r="U51" s="1">
        <v>311.165</v>
      </c>
      <c r="V51" s="8"/>
      <c r="W51" s="8">
        <f t="shared" si="7"/>
        <v>579.578947368421</v>
      </c>
      <c r="X51" s="8">
        <f t="shared" si="8"/>
        <v>1.64901399086244</v>
      </c>
      <c r="Y51" s="8">
        <f t="shared" si="9"/>
        <v>1.64398572485334</v>
      </c>
      <c r="Z51" s="8">
        <f t="shared" si="10"/>
        <v>1.86260970021828</v>
      </c>
      <c r="AA51" s="8"/>
      <c r="AB51" s="2"/>
      <c r="AG51" s="8">
        <f t="shared" si="11"/>
        <v>663.373493975904</v>
      </c>
    </row>
    <row r="52" ht="20.4" spans="1:33">
      <c r="A52" s="1">
        <v>12672</v>
      </c>
      <c r="B52" s="1">
        <v>17152</v>
      </c>
      <c r="C52" s="1">
        <v>1920</v>
      </c>
      <c r="D52" s="1">
        <v>5091</v>
      </c>
      <c r="E52" s="6">
        <v>71.2</v>
      </c>
      <c r="F52" s="1">
        <v>5598</v>
      </c>
      <c r="G52" s="7">
        <v>87.8</v>
      </c>
      <c r="H52" s="5">
        <v>7</v>
      </c>
      <c r="I52" s="8">
        <f t="shared" si="0"/>
        <v>1.09958750736594</v>
      </c>
      <c r="J52" s="8">
        <f t="shared" si="1"/>
        <v>1.84849841698796</v>
      </c>
      <c r="K52" s="8">
        <f t="shared" si="2"/>
        <v>1.84999568730909</v>
      </c>
      <c r="L52" s="8">
        <f t="shared" si="3"/>
        <v>2.11288848387456</v>
      </c>
      <c r="M52" s="1"/>
      <c r="N52" s="1">
        <f t="shared" si="12"/>
        <v>3028.404</v>
      </c>
      <c r="O52" s="1">
        <f t="shared" si="5"/>
        <v>3025.953</v>
      </c>
      <c r="P52" s="1">
        <f t="shared" si="6"/>
        <v>2649.4536</v>
      </c>
      <c r="R52" s="2"/>
      <c r="S52" s="1">
        <v>352.14</v>
      </c>
      <c r="T52" s="1">
        <v>351.855</v>
      </c>
      <c r="U52" s="1">
        <v>308.076</v>
      </c>
      <c r="V52" s="8"/>
      <c r="W52" s="8">
        <f t="shared" si="7"/>
        <v>589.263157894737</v>
      </c>
      <c r="X52" s="8">
        <f t="shared" si="8"/>
        <v>1.67337751432594</v>
      </c>
      <c r="Y52" s="8">
        <f t="shared" si="9"/>
        <v>1.67473293798507</v>
      </c>
      <c r="Z52" s="8">
        <f t="shared" si="10"/>
        <v>1.91272010119171</v>
      </c>
      <c r="AA52" s="8"/>
      <c r="AB52" s="2"/>
      <c r="AG52" s="8">
        <f t="shared" si="11"/>
        <v>674.457831325301</v>
      </c>
    </row>
    <row r="53" ht="20.4" spans="13:28">
      <c r="M53" s="1"/>
      <c r="N53" s="1"/>
      <c r="R53" s="2"/>
      <c r="AB53" s="2"/>
    </row>
  </sheetData>
  <mergeCells count="3">
    <mergeCell ref="D2:Q2"/>
    <mergeCell ref="S2:AA2"/>
    <mergeCell ref="AC2:A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XiaoHai</dc:creator>
  <cp:lastModifiedBy>っ小情绪〃围绕耳畔♂</cp:lastModifiedBy>
  <dcterms:created xsi:type="dcterms:W3CDTF">2015-06-06T02:19:00Z</dcterms:created>
  <dcterms:modified xsi:type="dcterms:W3CDTF">2025-11-12T10:50:42Z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5B02B9CF8E82473D639C1169F0758A95_42</vt:lpwstr>
  </property>
  <property fmtid="{D5CDD505-2E9C-101B-9397-08002B2CF9AE}" pid="3" name="KSOProductBuildVer">
    <vt:lpwstr>2052-7.5.1.8994</vt:lpwstr>
  </property>
</Properties>
</file>