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 activeTab="5"/>
  </bookViews>
  <sheets>
    <sheet name="Sheet1" sheetId="1" r:id="rId1"/>
    <sheet name="Sheet2" sheetId="2" r:id="rId2"/>
    <sheet name="K=384" sheetId="4" r:id="rId3"/>
    <sheet name="实验结果-k=384" sheetId="6" r:id="rId4"/>
    <sheet name="K=1920" sheetId="3" r:id="rId5"/>
    <sheet name="实验结果-k=1920" sheetId="10" r:id="rId6"/>
    <sheet name="Sheet4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<sst xmlns="http://schemas.openxmlformats.org/spreadsheetml/2006/main" count="443" uniqueCount="37">
  <si>
    <t>M</t>
  </si>
  <si>
    <t>N</t>
  </si>
  <si>
    <t>K</t>
  </si>
  <si>
    <t>GFLOPS</t>
  </si>
  <si>
    <t>优化前 / %</t>
  </si>
  <si>
    <t>GFLOPS-ours</t>
  </si>
  <si>
    <t>优化后/ %</t>
  </si>
  <si>
    <t>提升Effi / %</t>
  </si>
  <si>
    <t>加速比</t>
  </si>
  <si>
    <t>avg:</t>
  </si>
  <si>
    <r>
      <rPr>
        <sz val="14"/>
        <color rgb="FF000000"/>
        <rFont val="Times New Roman"/>
        <charset val="134"/>
      </rPr>
      <t>KunPeng920F(36threads)-</t>
    </r>
    <r>
      <rPr>
        <sz val="14"/>
        <color rgb="FF000000"/>
        <rFont val="宋体-简"/>
        <charset val="134"/>
      </rPr>
      <t>算力折算✖</t>
    </r>
    <r>
      <rPr>
        <sz val="14"/>
        <color rgb="FF000000"/>
        <rFont val="Times New Roman"/>
        <charset val="134"/>
      </rPr>
      <t>️8.6</t>
    </r>
    <r>
      <rPr>
        <sz val="14"/>
        <color rgb="FF000000"/>
        <rFont val="宋体-简"/>
        <charset val="134"/>
      </rPr>
      <t>倍</t>
    </r>
  </si>
  <si>
    <r>
      <rPr>
        <sz val="14"/>
        <color rgb="FF000000"/>
        <rFont val="宋体-简"/>
        <charset val="134"/>
      </rPr>
      <t>算力折算➗</t>
    </r>
    <r>
      <rPr>
        <sz val="14"/>
        <color rgb="FF000000"/>
        <rFont val="Times New Roman"/>
        <charset val="134"/>
      </rPr>
      <t>9.5</t>
    </r>
    <r>
      <rPr>
        <sz val="14"/>
        <color rgb="FF000000"/>
        <rFont val="宋体-简"/>
        <charset val="134"/>
      </rPr>
      <t>倍</t>
    </r>
    <r>
      <rPr>
        <sz val="14"/>
        <color rgb="FF000000"/>
        <rFont val="Times New Roman"/>
        <charset val="134"/>
      </rPr>
      <t>-KunPeng920-5250(36threads)--</t>
    </r>
    <r>
      <rPr>
        <sz val="14"/>
        <color rgb="FF000000"/>
        <rFont val="宋体-简"/>
        <charset val="134"/>
      </rPr>
      <t>总算力</t>
    </r>
    <r>
      <rPr>
        <sz val="14"/>
        <color rgb="FF000000"/>
        <rFont val="Times New Roman"/>
        <charset val="134"/>
      </rPr>
      <t>=2.6GHZ*4FLOPS*2*36=748.8GFLOPS</t>
    </r>
  </si>
  <si>
    <r>
      <rPr>
        <sz val="14"/>
        <color rgb="FF000000"/>
        <rFont val="宋体-简"/>
        <charset val="134"/>
      </rPr>
      <t>算力折算➗3.7倍</t>
    </r>
    <r>
      <rPr>
        <sz val="14"/>
        <color rgb="FF000000"/>
        <rFont val="Times New Roman"/>
        <charset val="134"/>
      </rPr>
      <t>-KunPeng920-7285Z(36threads)--</t>
    </r>
    <r>
      <rPr>
        <sz val="14"/>
        <color rgb="FF000000"/>
        <rFont val="宋体-简"/>
        <charset val="134"/>
      </rPr>
      <t>总算力</t>
    </r>
    <r>
      <rPr>
        <sz val="14"/>
        <color rgb="FF000000"/>
        <rFont val="Times New Roman"/>
        <charset val="134"/>
      </rPr>
      <t>=3.0GHZ*8FLOPS</t>
    </r>
    <r>
      <rPr>
        <sz val="14"/>
        <color rgb="FF000000"/>
        <rFont val="宋体-简"/>
        <charset val="134"/>
      </rPr>
      <t>（SVE-256bits）</t>
    </r>
    <r>
      <rPr>
        <sz val="14"/>
        <color rgb="FF000000"/>
        <rFont val="Times New Roman"/>
        <charset val="134"/>
      </rPr>
      <t>*2*36=1728GFLOPS</t>
    </r>
  </si>
  <si>
    <t>3.541GHz*4*4*2*36=2039.76GFLOPS</t>
  </si>
  <si>
    <t>Speed/baseline</t>
  </si>
  <si>
    <t>Speed/openblas</t>
  </si>
  <si>
    <t>Speed/blis</t>
  </si>
  <si>
    <t>Speed/armpl</t>
  </si>
  <si>
    <t>Speed/libxsmm</t>
  </si>
  <si>
    <t>Openblas</t>
  </si>
  <si>
    <t>Blis</t>
  </si>
  <si>
    <t>ArmPL</t>
  </si>
  <si>
    <t>Libxsmm</t>
  </si>
  <si>
    <t>% to peak</t>
  </si>
  <si>
    <t>ours-method</t>
  </si>
  <si>
    <t>AMD-EPYC 7663</t>
  </si>
  <si>
    <t>ID</t>
  </si>
  <si>
    <t>KML_BLAS</t>
  </si>
  <si>
    <t>ours-methods</t>
  </si>
  <si>
    <t>算力折算➗3.5倍-AMD-EPYC 7663 (36threads)--总算力=3.541GHz*4*4*2*36=2039.76GFLOPS</t>
  </si>
  <si>
    <t>baseline/GFLOPS</t>
  </si>
  <si>
    <t>baseline / %</t>
  </si>
  <si>
    <t>ours-method/ %</t>
  </si>
  <si>
    <t>KP920-F</t>
  </si>
  <si>
    <t>KP920-5250</t>
  </si>
  <si>
    <t>KP920-7285Z</t>
  </si>
  <si>
    <t>RippleGEMM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</si>
</sst>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</numFmts>
  <fonts count="24">
    <font>
      <sz val="11"/>
      <color theme="1"/>
      <name val="等线"/>
      <charset val="134"/>
      <scheme val="minor"/>
    </font>
    <font>
      <sz val="14"/>
      <color rgb="FF000000"/>
      <name val="Times New Roman"/>
      <charset val="134"/>
    </font>
    <font>
      <sz val="14"/>
      <color rgb="FF000000"/>
      <name val="宋体-简"/>
      <charset val="134"/>
    </font>
    <font>
      <sz val="14"/>
      <color theme="1"/>
      <name val="Times New Roman Regular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3" borderId="0" xfId="0" applyNumberFormat="1" applyFill="1"/>
    <xf numFmtId="176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0" xfId="0" applyFont="1" applyFill="1" applyAlignment="1"/>
    <xf numFmtId="177" fontId="1" fillId="7" borderId="0" xfId="0" applyNumberFormat="1" applyFont="1" applyFill="1" applyAlignment="1">
      <alignment horizontal="center" vertical="center"/>
    </xf>
    <xf numFmtId="177" fontId="1" fillId="8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4" borderId="0" xfId="0" applyFill="1"/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176" fontId="3" fillId="9" borderId="0" xfId="0" applyNumberFormat="1" applyFont="1" applyFill="1"/>
    <xf numFmtId="0" fontId="3" fillId="0" borderId="0" xfId="0" applyFont="1"/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C40"/>
  <sheetViews>
    <sheetView zoomScale="60" zoomScaleNormal="60" topLeftCell="C1" workbookViewId="0">
      <selection activeCell="F4" sqref="F4"/>
    </sheetView>
  </sheetViews>
  <sheetFormatPr defaultColWidth="9" defaultRowHeight="16.8"/>
  <cols>
    <col min="4" max="4" width="10.8571428571429" customWidth="1"/>
    <col min="5" max="5" width="16.5178571428571" customWidth="1"/>
    <col min="6" max="6" width="16.9553571428571" customWidth="1"/>
    <col min="7" max="7" width="15.4642857142857" customWidth="1"/>
    <col min="8" max="8" width="16.8214285714286" customWidth="1"/>
    <col min="14" max="14" width="14.8839285714286" customWidth="1"/>
    <col min="15" max="15" width="16.3660714285714" customWidth="1"/>
    <col min="16" max="16" width="17.8482142857143" customWidth="1"/>
    <col min="17" max="17" width="15.625" customWidth="1"/>
    <col min="18" max="18" width="17.1071428571429" customWidth="1"/>
    <col min="24" max="24" width="13.3928571428571" customWidth="1"/>
    <col min="25" max="25" width="15.625" customWidth="1"/>
    <col min="26" max="26" width="17.4107142857143" customWidth="1"/>
    <col min="27" max="27" width="15.4732142857143" customWidth="1"/>
    <col min="28" max="28" width="16.9642857142857" customWidth="1"/>
  </cols>
  <sheetData>
    <row r="3" ht="20.4" spans="1:28">
      <c r="A3" s="2" t="s">
        <v>0</v>
      </c>
      <c r="B3" s="2" t="s">
        <v>1</v>
      </c>
      <c r="C3" s="2" t="s">
        <v>2</v>
      </c>
      <c r="D3" s="2" t="s">
        <v>3</v>
      </c>
      <c r="E3" s="14" t="s">
        <v>4</v>
      </c>
      <c r="F3" s="2" t="s">
        <v>5</v>
      </c>
      <c r="G3" s="15" t="s">
        <v>6</v>
      </c>
      <c r="H3" s="5" t="s">
        <v>7</v>
      </c>
      <c r="I3" s="26"/>
      <c r="J3" s="26"/>
      <c r="K3" s="2" t="s">
        <v>0</v>
      </c>
      <c r="L3" s="2" t="s">
        <v>1</v>
      </c>
      <c r="M3" s="2" t="s">
        <v>2</v>
      </c>
      <c r="N3" s="2" t="s">
        <v>3</v>
      </c>
      <c r="O3" s="14" t="s">
        <v>4</v>
      </c>
      <c r="P3" s="2" t="s">
        <v>5</v>
      </c>
      <c r="Q3" s="15" t="s">
        <v>6</v>
      </c>
      <c r="R3" s="5" t="s">
        <v>7</v>
      </c>
      <c r="U3" s="2" t="s">
        <v>0</v>
      </c>
      <c r="V3" s="2" t="s">
        <v>1</v>
      </c>
      <c r="W3" s="2" t="s">
        <v>2</v>
      </c>
      <c r="X3" s="2" t="s">
        <v>3</v>
      </c>
      <c r="Y3" s="14" t="s">
        <v>4</v>
      </c>
      <c r="Z3" s="2" t="s">
        <v>5</v>
      </c>
      <c r="AA3" s="15" t="s">
        <v>6</v>
      </c>
      <c r="AB3" s="5" t="s">
        <v>7</v>
      </c>
    </row>
    <row r="4" ht="20.4" spans="1:28">
      <c r="A4" s="2">
        <v>2688</v>
      </c>
      <c r="B4" s="2">
        <v>77440</v>
      </c>
      <c r="C4" s="2">
        <v>1920</v>
      </c>
      <c r="D4" s="2">
        <v>3539</v>
      </c>
      <c r="E4" s="16">
        <v>49.5</v>
      </c>
      <c r="F4" s="2">
        <v>5059</v>
      </c>
      <c r="G4" s="17">
        <v>70.8</v>
      </c>
      <c r="H4" s="5">
        <v>21.3</v>
      </c>
      <c r="I4" s="26"/>
      <c r="J4" s="26"/>
      <c r="K4" s="2">
        <v>3456</v>
      </c>
      <c r="L4" s="2">
        <v>83584</v>
      </c>
      <c r="M4" s="2">
        <v>1920</v>
      </c>
      <c r="N4" s="2">
        <v>4573</v>
      </c>
      <c r="O4" s="16">
        <v>64</v>
      </c>
      <c r="P4" s="2">
        <v>5920</v>
      </c>
      <c r="Q4" s="17">
        <v>82.8</v>
      </c>
      <c r="R4" s="5">
        <v>18.8</v>
      </c>
      <c r="U4" s="2">
        <v>13440</v>
      </c>
      <c r="V4" s="2">
        <v>28288</v>
      </c>
      <c r="W4" s="2">
        <v>1920</v>
      </c>
      <c r="X4" s="2">
        <v>5532</v>
      </c>
      <c r="Y4" s="16">
        <v>77.4</v>
      </c>
      <c r="Z4" s="2">
        <v>5972</v>
      </c>
      <c r="AA4" s="17">
        <v>83.6</v>
      </c>
      <c r="AB4" s="5">
        <v>6.1</v>
      </c>
    </row>
    <row r="5" ht="20.4" spans="1:28">
      <c r="A5" s="2">
        <v>2688</v>
      </c>
      <c r="B5" s="2">
        <v>83200</v>
      </c>
      <c r="C5" s="2">
        <v>1920</v>
      </c>
      <c r="D5" s="2">
        <v>3640</v>
      </c>
      <c r="E5" s="16">
        <v>50.9</v>
      </c>
      <c r="F5" s="2">
        <v>5082</v>
      </c>
      <c r="G5" s="17">
        <v>71.1</v>
      </c>
      <c r="H5" s="5">
        <v>20.2</v>
      </c>
      <c r="I5" s="26"/>
      <c r="J5" s="26"/>
      <c r="K5" s="2">
        <v>3456</v>
      </c>
      <c r="L5" s="2">
        <v>77440</v>
      </c>
      <c r="M5" s="2">
        <v>1920</v>
      </c>
      <c r="N5" s="2">
        <v>4537</v>
      </c>
      <c r="O5" s="16">
        <v>63.5</v>
      </c>
      <c r="P5" s="2">
        <v>5812</v>
      </c>
      <c r="Q5" s="17">
        <v>81.3</v>
      </c>
      <c r="R5" s="5">
        <v>17.8</v>
      </c>
      <c r="U5" s="2">
        <v>13440</v>
      </c>
      <c r="V5" s="2">
        <v>25216</v>
      </c>
      <c r="W5" s="2">
        <v>1920</v>
      </c>
      <c r="X5" s="2">
        <v>5520</v>
      </c>
      <c r="Y5" s="16">
        <v>77.2</v>
      </c>
      <c r="Z5" s="2">
        <v>5964</v>
      </c>
      <c r="AA5" s="17">
        <v>83.5</v>
      </c>
      <c r="AB5" s="5">
        <v>6.2</v>
      </c>
    </row>
    <row r="6" ht="20.4" spans="1:28">
      <c r="A6" s="2">
        <v>2688</v>
      </c>
      <c r="B6" s="2">
        <v>74368</v>
      </c>
      <c r="C6" s="2">
        <v>1920</v>
      </c>
      <c r="D6" s="2">
        <v>3537</v>
      </c>
      <c r="E6" s="16">
        <v>49.5</v>
      </c>
      <c r="F6" s="2">
        <v>4930</v>
      </c>
      <c r="G6" s="17">
        <v>69.2</v>
      </c>
      <c r="H6" s="5">
        <v>19.7</v>
      </c>
      <c r="I6" s="26"/>
      <c r="J6" s="26"/>
      <c r="K6" s="2">
        <v>3456</v>
      </c>
      <c r="L6" s="2">
        <v>78208</v>
      </c>
      <c r="M6" s="2">
        <v>1920</v>
      </c>
      <c r="N6" s="2">
        <v>4539</v>
      </c>
      <c r="O6" s="16">
        <v>63.5</v>
      </c>
      <c r="P6" s="2">
        <v>5906</v>
      </c>
      <c r="Q6" s="17">
        <v>82.6</v>
      </c>
      <c r="R6" s="5">
        <v>19.1</v>
      </c>
      <c r="U6" s="2">
        <v>13440</v>
      </c>
      <c r="V6" s="2">
        <v>22144</v>
      </c>
      <c r="W6" s="2">
        <v>1920</v>
      </c>
      <c r="X6" s="2">
        <v>5420</v>
      </c>
      <c r="Y6" s="16">
        <v>75.8</v>
      </c>
      <c r="Z6" s="2">
        <v>5954</v>
      </c>
      <c r="AA6" s="17">
        <v>83.3</v>
      </c>
      <c r="AB6" s="5">
        <v>7.5</v>
      </c>
    </row>
    <row r="7" ht="20.4" spans="1:28">
      <c r="A7" s="2">
        <v>2688</v>
      </c>
      <c r="B7" s="2">
        <v>80128</v>
      </c>
      <c r="C7" s="2">
        <v>1920</v>
      </c>
      <c r="D7" s="2">
        <v>3651</v>
      </c>
      <c r="E7" s="16">
        <v>51.1</v>
      </c>
      <c r="F7" s="2">
        <v>5098</v>
      </c>
      <c r="G7" s="17">
        <v>71.3</v>
      </c>
      <c r="H7" s="5">
        <v>20.2</v>
      </c>
      <c r="I7" s="26"/>
      <c r="J7" s="26"/>
      <c r="K7" s="2">
        <v>3456</v>
      </c>
      <c r="L7" s="2">
        <v>80512</v>
      </c>
      <c r="M7" s="2">
        <v>1920</v>
      </c>
      <c r="N7" s="2">
        <v>4538</v>
      </c>
      <c r="O7" s="16">
        <v>63.5</v>
      </c>
      <c r="P7" s="2">
        <v>5799</v>
      </c>
      <c r="Q7" s="17">
        <v>81.1</v>
      </c>
      <c r="R7" s="5">
        <v>17.6</v>
      </c>
      <c r="U7" s="2">
        <v>13440</v>
      </c>
      <c r="V7" s="2">
        <v>17152</v>
      </c>
      <c r="W7" s="2">
        <v>1920</v>
      </c>
      <c r="X7" s="2">
        <v>5434</v>
      </c>
      <c r="Y7" s="16">
        <v>76</v>
      </c>
      <c r="Z7" s="2">
        <v>5885</v>
      </c>
      <c r="AA7" s="17">
        <v>82.3</v>
      </c>
      <c r="AB7" s="5">
        <v>6.3</v>
      </c>
    </row>
    <row r="8" ht="20.4" spans="1:28">
      <c r="A8" s="2">
        <v>2688</v>
      </c>
      <c r="B8" s="2">
        <v>31360</v>
      </c>
      <c r="C8" s="2">
        <v>1920</v>
      </c>
      <c r="D8" s="2">
        <v>3223</v>
      </c>
      <c r="E8" s="16">
        <v>45.1</v>
      </c>
      <c r="F8" s="2">
        <v>4477</v>
      </c>
      <c r="G8" s="17">
        <v>62.2</v>
      </c>
      <c r="H8" s="5">
        <v>17.1</v>
      </c>
      <c r="I8" s="26"/>
      <c r="J8" s="26"/>
      <c r="K8" s="2">
        <v>12672</v>
      </c>
      <c r="L8" s="2">
        <v>62464</v>
      </c>
      <c r="M8" s="2">
        <v>1920</v>
      </c>
      <c r="N8" s="2">
        <v>5778</v>
      </c>
      <c r="O8" s="16">
        <v>80.9</v>
      </c>
      <c r="P8" s="2">
        <v>6134</v>
      </c>
      <c r="Q8" s="17">
        <v>85.8</v>
      </c>
      <c r="R8" s="5">
        <v>4.9</v>
      </c>
      <c r="U8" s="2">
        <v>13440</v>
      </c>
      <c r="V8" s="2">
        <v>14080</v>
      </c>
      <c r="W8" s="2">
        <v>1920</v>
      </c>
      <c r="X8" s="2">
        <v>5188</v>
      </c>
      <c r="Y8" s="16">
        <v>72.6</v>
      </c>
      <c r="Z8" s="2">
        <v>5824</v>
      </c>
      <c r="AA8" s="17">
        <v>81.5</v>
      </c>
      <c r="AB8" s="5">
        <v>8.9</v>
      </c>
    </row>
    <row r="9" ht="20.4" spans="1:28">
      <c r="A9" s="2">
        <v>2688</v>
      </c>
      <c r="B9" s="2">
        <v>47104</v>
      </c>
      <c r="C9" s="2">
        <v>1920</v>
      </c>
      <c r="D9" s="2">
        <v>3614</v>
      </c>
      <c r="E9" s="16">
        <v>50.6</v>
      </c>
      <c r="F9" s="2">
        <v>4705</v>
      </c>
      <c r="G9" s="17">
        <v>65.8</v>
      </c>
      <c r="H9" s="5">
        <v>15.2</v>
      </c>
      <c r="I9" s="26"/>
      <c r="J9" s="26"/>
      <c r="K9" s="2">
        <v>12672</v>
      </c>
      <c r="L9" s="2">
        <v>73984</v>
      </c>
      <c r="M9" s="2">
        <v>1920</v>
      </c>
      <c r="N9" s="2">
        <v>5751</v>
      </c>
      <c r="O9" s="16">
        <v>80.5</v>
      </c>
      <c r="P9" s="2">
        <v>6119</v>
      </c>
      <c r="Q9" s="17">
        <v>85.6</v>
      </c>
      <c r="R9" s="5">
        <v>5.1</v>
      </c>
      <c r="U9" s="2">
        <v>13056</v>
      </c>
      <c r="V9" s="2">
        <v>14080</v>
      </c>
      <c r="W9" s="2">
        <v>1920</v>
      </c>
      <c r="X9" s="2">
        <v>5045</v>
      </c>
      <c r="Y9" s="16">
        <v>70.6</v>
      </c>
      <c r="Z9" s="2">
        <v>5597</v>
      </c>
      <c r="AA9" s="17">
        <v>78.3</v>
      </c>
      <c r="AB9" s="5">
        <v>7.7</v>
      </c>
    </row>
    <row r="10" ht="20.4" spans="1:28">
      <c r="A10" s="2">
        <v>2688</v>
      </c>
      <c r="B10" s="2">
        <v>44416</v>
      </c>
      <c r="C10" s="2">
        <v>1920</v>
      </c>
      <c r="D10" s="2">
        <v>3525</v>
      </c>
      <c r="E10" s="16">
        <v>49.3</v>
      </c>
      <c r="F10" s="2">
        <v>4285</v>
      </c>
      <c r="G10" s="17">
        <v>56</v>
      </c>
      <c r="H10" s="5">
        <v>6.7</v>
      </c>
      <c r="I10" s="26"/>
      <c r="J10" s="26"/>
      <c r="K10" s="2">
        <v>12672</v>
      </c>
      <c r="L10" s="2">
        <v>64000</v>
      </c>
      <c r="M10" s="2">
        <v>1920</v>
      </c>
      <c r="N10" s="2">
        <v>5767</v>
      </c>
      <c r="O10" s="16">
        <v>80.7</v>
      </c>
      <c r="P10" s="2">
        <v>6102</v>
      </c>
      <c r="Q10" s="17">
        <v>85.4</v>
      </c>
      <c r="R10" s="5">
        <v>4.7</v>
      </c>
      <c r="U10" s="2">
        <v>13056</v>
      </c>
      <c r="V10" s="2">
        <v>17152</v>
      </c>
      <c r="W10" s="2">
        <v>1920</v>
      </c>
      <c r="X10" s="2">
        <v>5232</v>
      </c>
      <c r="Y10" s="16">
        <v>73.2</v>
      </c>
      <c r="Z10" s="2">
        <v>5706</v>
      </c>
      <c r="AA10" s="17">
        <v>79.8</v>
      </c>
      <c r="AB10" s="5">
        <v>6.6</v>
      </c>
    </row>
    <row r="11" ht="20.4" spans="1:28">
      <c r="A11" s="2">
        <v>2688</v>
      </c>
      <c r="B11" s="2">
        <v>83968</v>
      </c>
      <c r="C11" s="2">
        <v>1920</v>
      </c>
      <c r="D11" s="2">
        <v>3606</v>
      </c>
      <c r="E11" s="16">
        <v>50.4</v>
      </c>
      <c r="F11" s="2">
        <v>5026</v>
      </c>
      <c r="G11" s="17">
        <v>70.3</v>
      </c>
      <c r="H11" s="5">
        <v>19.9</v>
      </c>
      <c r="I11" s="26"/>
      <c r="J11" s="26"/>
      <c r="K11" s="2">
        <v>10368</v>
      </c>
      <c r="L11" s="2">
        <v>77824</v>
      </c>
      <c r="M11" s="2">
        <v>1920</v>
      </c>
      <c r="N11" s="2">
        <v>5622</v>
      </c>
      <c r="O11" s="16">
        <v>78.7</v>
      </c>
      <c r="P11" s="2">
        <v>6108</v>
      </c>
      <c r="Q11" s="17">
        <v>85.5</v>
      </c>
      <c r="R11" s="5">
        <v>6.8</v>
      </c>
      <c r="U11" s="2">
        <v>13056</v>
      </c>
      <c r="V11" s="2">
        <v>28288</v>
      </c>
      <c r="W11" s="2">
        <v>1920</v>
      </c>
      <c r="X11" s="2">
        <v>5380</v>
      </c>
      <c r="Y11" s="16">
        <v>75.3</v>
      </c>
      <c r="Z11" s="2">
        <v>5832</v>
      </c>
      <c r="AA11" s="17">
        <v>81.6</v>
      </c>
      <c r="AB11" s="5">
        <v>6.3</v>
      </c>
    </row>
    <row r="12" ht="20.4" spans="1:28">
      <c r="A12" s="2">
        <v>2688</v>
      </c>
      <c r="B12" s="2">
        <v>82048</v>
      </c>
      <c r="C12" s="2">
        <v>1920</v>
      </c>
      <c r="D12" s="2">
        <v>3640</v>
      </c>
      <c r="E12" s="16">
        <v>50.9</v>
      </c>
      <c r="F12" s="2">
        <v>5018</v>
      </c>
      <c r="G12" s="17">
        <v>70.2</v>
      </c>
      <c r="H12" s="5">
        <v>19.3</v>
      </c>
      <c r="I12" s="26"/>
      <c r="J12" s="26"/>
      <c r="K12" s="2">
        <v>10368</v>
      </c>
      <c r="L12" s="2">
        <v>75904</v>
      </c>
      <c r="M12" s="2">
        <v>1920</v>
      </c>
      <c r="N12" s="2">
        <v>5658</v>
      </c>
      <c r="O12" s="16">
        <v>79.2</v>
      </c>
      <c r="P12" s="2">
        <v>6116</v>
      </c>
      <c r="Q12" s="17">
        <v>85.6</v>
      </c>
      <c r="R12" s="5">
        <v>6.4</v>
      </c>
      <c r="U12" s="2">
        <v>13056</v>
      </c>
      <c r="V12" s="2">
        <v>20224</v>
      </c>
      <c r="W12" s="2">
        <v>1920</v>
      </c>
      <c r="X12" s="2">
        <v>5324</v>
      </c>
      <c r="Y12" s="16">
        <v>74.5</v>
      </c>
      <c r="Z12" s="2">
        <v>5770</v>
      </c>
      <c r="AA12" s="17">
        <v>80.7</v>
      </c>
      <c r="AB12" s="5">
        <v>6.2</v>
      </c>
    </row>
    <row r="13" ht="20.4" spans="1:28">
      <c r="A13" s="2">
        <v>2688</v>
      </c>
      <c r="B13" s="2">
        <v>79744</v>
      </c>
      <c r="C13" s="2">
        <v>1920</v>
      </c>
      <c r="D13" s="2">
        <v>3625</v>
      </c>
      <c r="E13" s="16">
        <v>50.7</v>
      </c>
      <c r="F13" s="2">
        <v>4736</v>
      </c>
      <c r="G13" s="17">
        <v>66.3</v>
      </c>
      <c r="H13" s="5">
        <v>15.6</v>
      </c>
      <c r="I13" s="26"/>
      <c r="J13" s="26"/>
      <c r="K13" s="2">
        <v>10368</v>
      </c>
      <c r="L13" s="2">
        <v>80896</v>
      </c>
      <c r="M13" s="2">
        <v>1920</v>
      </c>
      <c r="N13" s="2">
        <v>5676</v>
      </c>
      <c r="O13" s="16">
        <v>79.4</v>
      </c>
      <c r="P13" s="2">
        <v>6114</v>
      </c>
      <c r="Q13" s="17">
        <v>85.6</v>
      </c>
      <c r="R13" s="5">
        <v>6.2</v>
      </c>
      <c r="U13" s="2">
        <v>13056</v>
      </c>
      <c r="V13" s="2">
        <v>25216</v>
      </c>
      <c r="W13" s="2">
        <v>1920</v>
      </c>
      <c r="X13" s="2">
        <v>5374</v>
      </c>
      <c r="Y13" s="16">
        <v>75.2</v>
      </c>
      <c r="Z13" s="2">
        <v>5809</v>
      </c>
      <c r="AA13" s="17">
        <v>81.3</v>
      </c>
      <c r="AB13" s="5">
        <v>6</v>
      </c>
    </row>
    <row r="14" ht="20.4" spans="1:28">
      <c r="A14" s="2">
        <v>2688</v>
      </c>
      <c r="B14" s="2">
        <v>78976</v>
      </c>
      <c r="C14" s="2">
        <v>1920</v>
      </c>
      <c r="D14" s="2">
        <v>3631</v>
      </c>
      <c r="E14" s="16">
        <v>50.8</v>
      </c>
      <c r="F14" s="2">
        <v>4933</v>
      </c>
      <c r="G14" s="17">
        <v>69</v>
      </c>
      <c r="H14" s="5">
        <v>18.2</v>
      </c>
      <c r="I14" s="26"/>
      <c r="J14" s="26"/>
      <c r="K14" s="2">
        <v>8064</v>
      </c>
      <c r="L14" s="2">
        <v>76288</v>
      </c>
      <c r="M14" s="2">
        <v>1920</v>
      </c>
      <c r="N14" s="2">
        <v>5485</v>
      </c>
      <c r="O14" s="16">
        <v>76.8</v>
      </c>
      <c r="P14" s="2">
        <v>6068</v>
      </c>
      <c r="Q14" s="17">
        <v>84.9</v>
      </c>
      <c r="R14" s="5">
        <v>8.1</v>
      </c>
      <c r="U14" s="2">
        <v>12672</v>
      </c>
      <c r="V14" s="2">
        <v>11008</v>
      </c>
      <c r="W14" s="2">
        <v>1920</v>
      </c>
      <c r="X14" s="2">
        <v>4775</v>
      </c>
      <c r="Y14" s="16">
        <v>66.8</v>
      </c>
      <c r="Z14" s="2">
        <v>5455</v>
      </c>
      <c r="AA14" s="17">
        <v>76.3</v>
      </c>
      <c r="AB14" s="5">
        <v>9.5</v>
      </c>
    </row>
    <row r="15" ht="20.4" spans="1:28">
      <c r="A15" s="2">
        <v>2688</v>
      </c>
      <c r="B15" s="2">
        <v>83584</v>
      </c>
      <c r="C15" s="2">
        <v>1920</v>
      </c>
      <c r="D15" s="2">
        <v>3569</v>
      </c>
      <c r="E15" s="16">
        <v>49.9</v>
      </c>
      <c r="F15" s="2">
        <v>4998</v>
      </c>
      <c r="G15" s="17">
        <v>69.9</v>
      </c>
      <c r="H15" s="5">
        <v>20</v>
      </c>
      <c r="I15" s="26"/>
      <c r="J15" s="26"/>
      <c r="K15" s="2">
        <v>8064</v>
      </c>
      <c r="L15" s="2">
        <v>74752</v>
      </c>
      <c r="M15" s="2">
        <v>1920</v>
      </c>
      <c r="N15" s="2">
        <v>5472</v>
      </c>
      <c r="O15" s="16">
        <v>76.6</v>
      </c>
      <c r="P15" s="2">
        <v>6066</v>
      </c>
      <c r="Q15" s="17">
        <v>84.9</v>
      </c>
      <c r="R15" s="5">
        <v>8.3</v>
      </c>
      <c r="U15" s="2">
        <v>12672</v>
      </c>
      <c r="V15" s="2">
        <v>16000</v>
      </c>
      <c r="W15" s="2">
        <v>1920</v>
      </c>
      <c r="X15" s="2">
        <v>4858</v>
      </c>
      <c r="Y15" s="16">
        <v>68</v>
      </c>
      <c r="Z15" s="2">
        <v>5504</v>
      </c>
      <c r="AA15" s="17">
        <v>77</v>
      </c>
      <c r="AB15" s="5">
        <v>9</v>
      </c>
    </row>
    <row r="16" ht="20.4" spans="1:28">
      <c r="A16" s="2">
        <v>2688</v>
      </c>
      <c r="B16" s="2">
        <v>81664</v>
      </c>
      <c r="C16" s="2">
        <v>1920</v>
      </c>
      <c r="D16" s="2">
        <v>3564</v>
      </c>
      <c r="E16" s="16">
        <v>49.9</v>
      </c>
      <c r="F16" s="2">
        <v>5095</v>
      </c>
      <c r="G16" s="17">
        <v>71.3</v>
      </c>
      <c r="H16" s="5">
        <v>21.4</v>
      </c>
      <c r="I16" s="26"/>
      <c r="J16" s="26"/>
      <c r="K16" s="2">
        <v>8064</v>
      </c>
      <c r="L16" s="2">
        <v>62424</v>
      </c>
      <c r="M16" s="2">
        <v>1920</v>
      </c>
      <c r="N16" s="2">
        <v>5482</v>
      </c>
      <c r="O16" s="16">
        <v>76.7</v>
      </c>
      <c r="P16" s="2">
        <v>6071</v>
      </c>
      <c r="Q16" s="17">
        <v>85</v>
      </c>
      <c r="R16" s="5">
        <v>8.3</v>
      </c>
      <c r="U16" s="2">
        <v>12672</v>
      </c>
      <c r="V16" s="2">
        <v>19072</v>
      </c>
      <c r="W16" s="2">
        <v>1920</v>
      </c>
      <c r="X16" s="2">
        <v>4987</v>
      </c>
      <c r="Y16" s="16">
        <v>69.8</v>
      </c>
      <c r="Z16" s="2">
        <v>5575</v>
      </c>
      <c r="AA16" s="17">
        <v>78</v>
      </c>
      <c r="AB16" s="5">
        <v>8.2</v>
      </c>
    </row>
    <row r="17" ht="20.4" spans="1:28">
      <c r="A17" s="2">
        <v>2688</v>
      </c>
      <c r="B17" s="2">
        <v>81280</v>
      </c>
      <c r="C17" s="2">
        <v>1920</v>
      </c>
      <c r="D17" s="2">
        <v>3606</v>
      </c>
      <c r="E17" s="16">
        <v>50.4</v>
      </c>
      <c r="F17" s="2">
        <v>4706</v>
      </c>
      <c r="G17" s="17">
        <v>65.8</v>
      </c>
      <c r="H17" s="5">
        <v>15.4</v>
      </c>
      <c r="I17" s="26"/>
      <c r="J17" s="26"/>
      <c r="K17" s="2">
        <v>3456</v>
      </c>
      <c r="L17" s="2">
        <v>45568</v>
      </c>
      <c r="M17" s="2">
        <v>1920</v>
      </c>
      <c r="N17" s="2">
        <v>4549</v>
      </c>
      <c r="O17" s="16">
        <v>63.6</v>
      </c>
      <c r="P17" s="2">
        <v>5797</v>
      </c>
      <c r="Q17" s="17">
        <v>81.1</v>
      </c>
      <c r="R17" s="5">
        <v>17.5</v>
      </c>
      <c r="U17" s="2">
        <v>12672</v>
      </c>
      <c r="V17" s="2">
        <v>5632</v>
      </c>
      <c r="W17" s="2">
        <v>1920</v>
      </c>
      <c r="X17" s="2">
        <v>4571</v>
      </c>
      <c r="Y17" s="16">
        <v>63.9</v>
      </c>
      <c r="Z17" s="2">
        <v>5130</v>
      </c>
      <c r="AA17" s="17">
        <v>71.8</v>
      </c>
      <c r="AB17" s="5">
        <v>7.8</v>
      </c>
    </row>
    <row r="18" ht="20.4" spans="1:28">
      <c r="A18" s="2">
        <v>2688</v>
      </c>
      <c r="B18" s="2">
        <v>75520</v>
      </c>
      <c r="C18" s="2">
        <v>1920</v>
      </c>
      <c r="D18" s="2">
        <v>3554</v>
      </c>
      <c r="E18" s="16">
        <v>49.7</v>
      </c>
      <c r="F18" s="2">
        <v>5021</v>
      </c>
      <c r="G18" s="17">
        <v>70.3</v>
      </c>
      <c r="H18" s="5">
        <v>20.6</v>
      </c>
      <c r="I18" s="26"/>
      <c r="J18" s="26"/>
      <c r="K18" s="2">
        <v>3456</v>
      </c>
      <c r="L18" s="2">
        <v>45184</v>
      </c>
      <c r="M18" s="2">
        <v>1920</v>
      </c>
      <c r="N18" s="2">
        <v>4561</v>
      </c>
      <c r="O18" s="16">
        <v>63.8</v>
      </c>
      <c r="P18" s="2">
        <v>5812</v>
      </c>
      <c r="Q18" s="17">
        <v>81.3</v>
      </c>
      <c r="R18" s="5">
        <v>17.5</v>
      </c>
      <c r="U18" s="2">
        <v>12672</v>
      </c>
      <c r="V18" s="2">
        <v>14080</v>
      </c>
      <c r="W18" s="2">
        <v>1920</v>
      </c>
      <c r="X18" s="2">
        <v>4982</v>
      </c>
      <c r="Y18" s="16">
        <v>69.7</v>
      </c>
      <c r="Z18" s="2">
        <v>5506</v>
      </c>
      <c r="AA18" s="17">
        <v>77.1</v>
      </c>
      <c r="AB18" s="5">
        <v>7.3</v>
      </c>
    </row>
    <row r="19" ht="20.4" spans="1:28">
      <c r="A19" s="2">
        <v>2688</v>
      </c>
      <c r="B19" s="2">
        <v>77440</v>
      </c>
      <c r="C19" s="2">
        <v>1920</v>
      </c>
      <c r="D19" s="2">
        <v>3539</v>
      </c>
      <c r="E19" s="16">
        <v>49.5</v>
      </c>
      <c r="F19" s="2">
        <v>5059</v>
      </c>
      <c r="G19" s="17">
        <v>70.8</v>
      </c>
      <c r="H19" s="5">
        <v>21.3</v>
      </c>
      <c r="I19" s="26"/>
      <c r="J19" s="26"/>
      <c r="K19" s="2">
        <v>3456</v>
      </c>
      <c r="L19" s="2">
        <v>37888</v>
      </c>
      <c r="M19" s="2">
        <v>1920</v>
      </c>
      <c r="N19" s="2">
        <v>4534</v>
      </c>
      <c r="O19" s="16">
        <v>63.4</v>
      </c>
      <c r="P19" s="2">
        <v>5652</v>
      </c>
      <c r="Q19" s="17">
        <v>79.1</v>
      </c>
      <c r="R19" s="5">
        <v>15.7</v>
      </c>
      <c r="U19" s="2">
        <v>12672</v>
      </c>
      <c r="V19" s="2">
        <v>17152</v>
      </c>
      <c r="W19" s="2">
        <v>1920</v>
      </c>
      <c r="X19" s="2">
        <v>5091</v>
      </c>
      <c r="Y19" s="16">
        <v>71.2</v>
      </c>
      <c r="Z19" s="2">
        <v>5598</v>
      </c>
      <c r="AA19" s="17">
        <v>87.8</v>
      </c>
      <c r="AB19" s="5">
        <v>7</v>
      </c>
    </row>
    <row r="20" spans="1:14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ht="20.4" spans="1:29">
      <c r="A21" s="2">
        <v>2688</v>
      </c>
      <c r="B21" s="2">
        <v>81664</v>
      </c>
      <c r="C21" s="2">
        <v>1920</v>
      </c>
      <c r="D21" s="2">
        <v>3564</v>
      </c>
      <c r="E21" s="16">
        <v>49.9</v>
      </c>
      <c r="F21" s="2">
        <v>5095</v>
      </c>
      <c r="G21" s="17">
        <v>71.3</v>
      </c>
      <c r="H21" s="5">
        <v>21.4</v>
      </c>
      <c r="I21" s="5">
        <v>21.4</v>
      </c>
      <c r="J21" s="26"/>
      <c r="K21" s="2">
        <v>3456</v>
      </c>
      <c r="L21" s="2">
        <v>78208</v>
      </c>
      <c r="M21" s="2">
        <v>1920</v>
      </c>
      <c r="N21" s="2">
        <v>4539</v>
      </c>
      <c r="O21" s="16">
        <v>63.5</v>
      </c>
      <c r="P21" s="2">
        <v>5906</v>
      </c>
      <c r="Q21" s="17">
        <v>82.6</v>
      </c>
      <c r="R21" s="5">
        <v>19.1</v>
      </c>
      <c r="S21" s="5">
        <v>19.1</v>
      </c>
      <c r="U21" s="2">
        <v>12672</v>
      </c>
      <c r="V21" s="2">
        <v>11008</v>
      </c>
      <c r="W21" s="2">
        <v>1920</v>
      </c>
      <c r="X21" s="2">
        <v>4775</v>
      </c>
      <c r="Y21" s="16">
        <v>66.8</v>
      </c>
      <c r="Z21" s="2">
        <v>5455</v>
      </c>
      <c r="AA21" s="17">
        <v>76.3</v>
      </c>
      <c r="AB21" s="5">
        <v>9.5</v>
      </c>
      <c r="AC21" s="5">
        <v>9.5</v>
      </c>
    </row>
    <row r="22" ht="20.4" spans="1:29">
      <c r="A22" s="2">
        <v>2688</v>
      </c>
      <c r="B22" s="2">
        <v>77440</v>
      </c>
      <c r="C22" s="2">
        <v>1920</v>
      </c>
      <c r="D22" s="2">
        <v>3539</v>
      </c>
      <c r="E22" s="16">
        <v>49.5</v>
      </c>
      <c r="F22" s="2">
        <v>5059</v>
      </c>
      <c r="G22" s="17">
        <v>70.8</v>
      </c>
      <c r="H22" s="5">
        <v>21.3</v>
      </c>
      <c r="I22" s="5">
        <v>21.3</v>
      </c>
      <c r="J22" s="26"/>
      <c r="K22" s="2">
        <v>3456</v>
      </c>
      <c r="L22" s="2">
        <v>83584</v>
      </c>
      <c r="M22" s="2">
        <v>1920</v>
      </c>
      <c r="N22" s="2">
        <v>4573</v>
      </c>
      <c r="O22" s="16">
        <v>64</v>
      </c>
      <c r="P22" s="2">
        <v>5920</v>
      </c>
      <c r="Q22" s="17">
        <v>82.8</v>
      </c>
      <c r="R22" s="5">
        <v>18.8</v>
      </c>
      <c r="S22" s="5">
        <v>18.8</v>
      </c>
      <c r="U22" s="2">
        <v>12672</v>
      </c>
      <c r="V22" s="2">
        <v>16000</v>
      </c>
      <c r="W22" s="2">
        <v>1920</v>
      </c>
      <c r="X22" s="2">
        <v>4858</v>
      </c>
      <c r="Y22" s="16">
        <v>68</v>
      </c>
      <c r="Z22" s="2">
        <v>5504</v>
      </c>
      <c r="AA22" s="17">
        <v>77</v>
      </c>
      <c r="AB22" s="5">
        <v>9</v>
      </c>
      <c r="AC22" s="5">
        <v>9</v>
      </c>
    </row>
    <row r="23" ht="20.4" spans="1:29">
      <c r="A23" s="2">
        <v>2688</v>
      </c>
      <c r="B23" s="2">
        <v>75520</v>
      </c>
      <c r="C23" s="2">
        <v>1920</v>
      </c>
      <c r="D23" s="2">
        <v>3554</v>
      </c>
      <c r="E23" s="16">
        <v>49.7</v>
      </c>
      <c r="F23" s="2">
        <v>5021</v>
      </c>
      <c r="G23" s="17">
        <v>70.3</v>
      </c>
      <c r="H23" s="5">
        <v>20.6</v>
      </c>
      <c r="I23" s="5">
        <v>21.3</v>
      </c>
      <c r="J23" s="26"/>
      <c r="K23" s="2">
        <v>3456</v>
      </c>
      <c r="L23" s="2">
        <v>77440</v>
      </c>
      <c r="M23" s="2">
        <v>1920</v>
      </c>
      <c r="N23" s="2">
        <v>4537</v>
      </c>
      <c r="O23" s="16">
        <v>63.5</v>
      </c>
      <c r="P23" s="2">
        <v>5812</v>
      </c>
      <c r="Q23" s="17">
        <v>81.3</v>
      </c>
      <c r="R23" s="5">
        <v>17.8</v>
      </c>
      <c r="S23" s="5">
        <v>17.8</v>
      </c>
      <c r="U23" s="2">
        <v>12672</v>
      </c>
      <c r="V23" s="2">
        <v>5632</v>
      </c>
      <c r="W23" s="2">
        <v>1920</v>
      </c>
      <c r="X23" s="2">
        <v>4571</v>
      </c>
      <c r="Y23" s="16">
        <v>63.9</v>
      </c>
      <c r="Z23" s="2">
        <v>5130</v>
      </c>
      <c r="AA23" s="17">
        <v>71.8</v>
      </c>
      <c r="AB23" s="5">
        <v>7.8</v>
      </c>
      <c r="AC23" s="5">
        <v>8.9</v>
      </c>
    </row>
    <row r="24" ht="20.4" spans="1:29">
      <c r="A24" s="2">
        <v>2688</v>
      </c>
      <c r="B24" s="2">
        <v>81280</v>
      </c>
      <c r="C24" s="2">
        <v>1920</v>
      </c>
      <c r="D24" s="2">
        <v>3606</v>
      </c>
      <c r="E24" s="16">
        <v>50.4</v>
      </c>
      <c r="F24" s="2">
        <v>4706</v>
      </c>
      <c r="G24" s="17">
        <v>65.8</v>
      </c>
      <c r="H24" s="5">
        <v>15.4</v>
      </c>
      <c r="I24" s="5">
        <v>20.6</v>
      </c>
      <c r="J24" s="26"/>
      <c r="K24" s="2">
        <v>3456</v>
      </c>
      <c r="L24" s="2">
        <v>45184</v>
      </c>
      <c r="M24" s="2">
        <v>1920</v>
      </c>
      <c r="N24" s="2">
        <v>4561</v>
      </c>
      <c r="O24" s="16">
        <v>63.8</v>
      </c>
      <c r="P24" s="2">
        <v>5812</v>
      </c>
      <c r="Q24" s="17">
        <v>81.3</v>
      </c>
      <c r="R24" s="5">
        <v>17.5</v>
      </c>
      <c r="S24" s="5">
        <v>17.6</v>
      </c>
      <c r="U24" s="2">
        <v>13056</v>
      </c>
      <c r="V24" s="2">
        <v>14080</v>
      </c>
      <c r="W24" s="2">
        <v>1920</v>
      </c>
      <c r="X24" s="2">
        <v>5045</v>
      </c>
      <c r="Y24" s="16">
        <v>70.6</v>
      </c>
      <c r="Z24" s="2">
        <v>5597</v>
      </c>
      <c r="AA24" s="17">
        <v>78.3</v>
      </c>
      <c r="AB24" s="5">
        <v>7.7</v>
      </c>
      <c r="AC24" s="5">
        <v>8.2</v>
      </c>
    </row>
    <row r="25" ht="20.4" spans="1:29">
      <c r="A25" s="2">
        <v>2688</v>
      </c>
      <c r="B25" s="2">
        <v>83200</v>
      </c>
      <c r="C25" s="2">
        <v>1920</v>
      </c>
      <c r="D25" s="2">
        <v>3640</v>
      </c>
      <c r="E25" s="16">
        <v>50.9</v>
      </c>
      <c r="F25" s="2">
        <v>5082</v>
      </c>
      <c r="G25" s="17">
        <v>71.1</v>
      </c>
      <c r="H25" s="5">
        <v>20.2</v>
      </c>
      <c r="I25" s="5">
        <v>20.2</v>
      </c>
      <c r="J25" s="26"/>
      <c r="K25" s="2">
        <v>3456</v>
      </c>
      <c r="L25" s="2">
        <v>37888</v>
      </c>
      <c r="M25" s="2">
        <v>1920</v>
      </c>
      <c r="N25" s="2">
        <v>4534</v>
      </c>
      <c r="O25" s="16">
        <v>63.4</v>
      </c>
      <c r="P25" s="2">
        <v>5652</v>
      </c>
      <c r="Q25" s="17">
        <v>79.1</v>
      </c>
      <c r="R25" s="5">
        <v>15.7</v>
      </c>
      <c r="S25" s="5">
        <v>17.5</v>
      </c>
      <c r="U25" s="2">
        <v>13056</v>
      </c>
      <c r="V25" s="2">
        <v>28288</v>
      </c>
      <c r="W25" s="2">
        <v>1920</v>
      </c>
      <c r="X25" s="2">
        <v>5380</v>
      </c>
      <c r="Y25" s="16">
        <v>75.3</v>
      </c>
      <c r="Z25" s="2">
        <v>5832</v>
      </c>
      <c r="AA25" s="17">
        <v>81.6</v>
      </c>
      <c r="AB25" s="5">
        <v>6.3</v>
      </c>
      <c r="AC25" s="5">
        <v>7.8</v>
      </c>
    </row>
    <row r="26" ht="20.4" spans="1:29">
      <c r="A26" s="2">
        <v>2688</v>
      </c>
      <c r="B26" s="2">
        <v>31360</v>
      </c>
      <c r="C26" s="2">
        <v>1920</v>
      </c>
      <c r="D26" s="2">
        <v>3223</v>
      </c>
      <c r="E26" s="16">
        <v>45.1</v>
      </c>
      <c r="F26" s="2">
        <v>4477</v>
      </c>
      <c r="G26" s="17">
        <v>62.2</v>
      </c>
      <c r="H26" s="5">
        <v>17.1</v>
      </c>
      <c r="I26" s="5">
        <v>20.2</v>
      </c>
      <c r="J26" s="26"/>
      <c r="K26" s="2">
        <v>8064</v>
      </c>
      <c r="L26" s="2">
        <v>74752</v>
      </c>
      <c r="M26" s="2">
        <v>1920</v>
      </c>
      <c r="N26" s="2">
        <v>5472</v>
      </c>
      <c r="O26" s="16">
        <v>76.6</v>
      </c>
      <c r="P26" s="2">
        <v>6066</v>
      </c>
      <c r="Q26" s="17">
        <v>84.9</v>
      </c>
      <c r="R26" s="5">
        <v>8.3</v>
      </c>
      <c r="S26" s="5">
        <v>17.5</v>
      </c>
      <c r="U26" s="2">
        <v>13440</v>
      </c>
      <c r="V26" s="2">
        <v>14080</v>
      </c>
      <c r="W26" s="2">
        <v>1920</v>
      </c>
      <c r="X26" s="2">
        <v>5188</v>
      </c>
      <c r="Y26" s="16">
        <v>72.6</v>
      </c>
      <c r="Z26" s="2">
        <v>5824</v>
      </c>
      <c r="AA26" s="17">
        <v>81.5</v>
      </c>
      <c r="AB26" s="5">
        <v>8.9</v>
      </c>
      <c r="AC26" s="5">
        <v>7.7</v>
      </c>
    </row>
    <row r="27" ht="20.4" spans="1:29">
      <c r="A27" s="2">
        <v>2688</v>
      </c>
      <c r="B27" s="2">
        <v>47104</v>
      </c>
      <c r="C27" s="2">
        <v>1920</v>
      </c>
      <c r="D27" s="2">
        <v>3614</v>
      </c>
      <c r="E27" s="16">
        <v>50.6</v>
      </c>
      <c r="F27" s="2">
        <v>4705</v>
      </c>
      <c r="G27" s="17">
        <v>65.8</v>
      </c>
      <c r="H27" s="5">
        <v>15.2</v>
      </c>
      <c r="I27" s="5">
        <v>20</v>
      </c>
      <c r="J27" s="26"/>
      <c r="K27" s="2">
        <v>8064</v>
      </c>
      <c r="L27" s="2">
        <v>62424</v>
      </c>
      <c r="M27" s="2">
        <v>1920</v>
      </c>
      <c r="N27" s="2">
        <v>5482</v>
      </c>
      <c r="O27" s="16">
        <v>76.7</v>
      </c>
      <c r="P27" s="2">
        <v>6071</v>
      </c>
      <c r="Q27" s="17">
        <v>85</v>
      </c>
      <c r="R27" s="5">
        <v>8.3</v>
      </c>
      <c r="S27" s="5">
        <v>15.7</v>
      </c>
      <c r="U27" s="2">
        <v>13440</v>
      </c>
      <c r="V27" s="2">
        <v>22144</v>
      </c>
      <c r="W27" s="2">
        <v>1920</v>
      </c>
      <c r="X27" s="2">
        <v>5420</v>
      </c>
      <c r="Y27" s="16">
        <v>75.8</v>
      </c>
      <c r="Z27" s="2">
        <v>5954</v>
      </c>
      <c r="AA27" s="17">
        <v>83.3</v>
      </c>
      <c r="AB27" s="5">
        <v>7.5</v>
      </c>
      <c r="AC27" s="5">
        <v>7.5</v>
      </c>
    </row>
    <row r="28" ht="20.4" spans="1:29">
      <c r="A28" s="2">
        <v>2688</v>
      </c>
      <c r="B28" s="2">
        <v>44416</v>
      </c>
      <c r="C28" s="2">
        <v>1920</v>
      </c>
      <c r="D28" s="2">
        <v>3525</v>
      </c>
      <c r="E28" s="16">
        <v>49.3</v>
      </c>
      <c r="F28" s="2">
        <v>4285</v>
      </c>
      <c r="G28" s="17">
        <v>56</v>
      </c>
      <c r="H28" s="5">
        <v>6.7</v>
      </c>
      <c r="I28" s="5">
        <v>19.9</v>
      </c>
      <c r="J28" s="26"/>
      <c r="K28" s="2">
        <v>10368</v>
      </c>
      <c r="L28" s="2">
        <v>75904</v>
      </c>
      <c r="M28" s="2">
        <v>1920</v>
      </c>
      <c r="N28" s="2">
        <v>5658</v>
      </c>
      <c r="O28" s="16">
        <v>79.2</v>
      </c>
      <c r="P28" s="2">
        <v>6116</v>
      </c>
      <c r="Q28" s="17">
        <v>85.6</v>
      </c>
      <c r="R28" s="5">
        <v>6.4</v>
      </c>
      <c r="S28" s="5">
        <v>8.3</v>
      </c>
      <c r="AC28" s="5">
        <v>7.3</v>
      </c>
    </row>
    <row r="29" ht="20.4" spans="9:29">
      <c r="I29" s="5">
        <v>19.7</v>
      </c>
      <c r="J29" s="26"/>
      <c r="K29" s="2">
        <v>10368</v>
      </c>
      <c r="L29" s="2">
        <v>80896</v>
      </c>
      <c r="M29" s="2">
        <v>1920</v>
      </c>
      <c r="N29" s="2">
        <v>5676</v>
      </c>
      <c r="O29" s="16">
        <v>79.4</v>
      </c>
      <c r="P29" s="2">
        <v>6114</v>
      </c>
      <c r="Q29" s="17">
        <v>85.6</v>
      </c>
      <c r="R29" s="5">
        <v>6.2</v>
      </c>
      <c r="S29" s="5">
        <v>8.3</v>
      </c>
      <c r="AC29" s="5">
        <v>7</v>
      </c>
    </row>
    <row r="30" ht="20.4" spans="9:29">
      <c r="I30" s="5">
        <v>19.3</v>
      </c>
      <c r="J30" s="26"/>
      <c r="K30" s="2">
        <v>12672</v>
      </c>
      <c r="L30" s="2">
        <v>62464</v>
      </c>
      <c r="M30" s="2">
        <v>1920</v>
      </c>
      <c r="N30" s="2">
        <v>5778</v>
      </c>
      <c r="O30" s="16">
        <v>80.9</v>
      </c>
      <c r="P30" s="2">
        <v>6134</v>
      </c>
      <c r="Q30" s="17">
        <v>85.8</v>
      </c>
      <c r="R30" s="5">
        <v>4.9</v>
      </c>
      <c r="S30" s="5">
        <v>8.1</v>
      </c>
      <c r="AC30" s="5">
        <v>6.6</v>
      </c>
    </row>
    <row r="31" ht="20.4" spans="9:29">
      <c r="I31" s="5">
        <v>18.2</v>
      </c>
      <c r="J31" s="26"/>
      <c r="K31" s="2">
        <v>12672</v>
      </c>
      <c r="L31" s="2">
        <v>73984</v>
      </c>
      <c r="M31" s="2">
        <v>1920</v>
      </c>
      <c r="N31" s="2">
        <v>5751</v>
      </c>
      <c r="O31" s="16">
        <v>80.5</v>
      </c>
      <c r="P31" s="2">
        <v>6119</v>
      </c>
      <c r="Q31" s="17">
        <v>85.6</v>
      </c>
      <c r="R31" s="5">
        <v>5.1</v>
      </c>
      <c r="S31" s="5">
        <v>6.8</v>
      </c>
      <c r="AC31" s="5">
        <v>6.3</v>
      </c>
    </row>
    <row r="32" ht="20.4" spans="9:29">
      <c r="I32" s="5">
        <v>17.1</v>
      </c>
      <c r="J32" s="26"/>
      <c r="K32" s="26"/>
      <c r="L32" s="26"/>
      <c r="M32" s="26"/>
      <c r="N32" s="26"/>
      <c r="O32" s="26"/>
      <c r="P32" s="26"/>
      <c r="Q32" s="26"/>
      <c r="R32" s="26"/>
      <c r="S32" s="5">
        <v>6.4</v>
      </c>
      <c r="AC32" s="5">
        <v>6.3</v>
      </c>
    </row>
    <row r="33" ht="20.4" spans="9:29">
      <c r="I33" s="5">
        <v>15.6</v>
      </c>
      <c r="J33" s="26"/>
      <c r="K33" s="26"/>
      <c r="L33" s="26"/>
      <c r="M33" s="26"/>
      <c r="N33" s="26"/>
      <c r="O33" s="26"/>
      <c r="P33" s="26"/>
      <c r="Q33" s="26"/>
      <c r="R33" s="26"/>
      <c r="S33" s="5">
        <v>6.2</v>
      </c>
      <c r="AC33" s="5">
        <v>6.2</v>
      </c>
    </row>
    <row r="34" ht="20.4" spans="9:29">
      <c r="I34" s="5">
        <v>15.4</v>
      </c>
      <c r="J34" s="26"/>
      <c r="K34" s="26"/>
      <c r="L34" s="26"/>
      <c r="M34" s="26"/>
      <c r="N34" s="26"/>
      <c r="O34" s="26"/>
      <c r="P34" s="26"/>
      <c r="Q34" s="26"/>
      <c r="R34" s="26"/>
      <c r="S34" s="5">
        <v>5.1</v>
      </c>
      <c r="AC34" s="5">
        <v>6.2</v>
      </c>
    </row>
    <row r="35" ht="20.4" spans="9:29">
      <c r="I35" s="5">
        <v>15.2</v>
      </c>
      <c r="J35" s="26"/>
      <c r="K35" s="26"/>
      <c r="L35" s="26"/>
      <c r="M35" s="26"/>
      <c r="N35" s="26"/>
      <c r="O35" s="26"/>
      <c r="P35" s="26"/>
      <c r="Q35" s="26"/>
      <c r="R35" s="26"/>
      <c r="S35" s="5">
        <v>4.9</v>
      </c>
      <c r="AC35" s="5">
        <v>6.1</v>
      </c>
    </row>
    <row r="36" ht="20.4" spans="9:29">
      <c r="I36" s="5">
        <v>6.7</v>
      </c>
      <c r="J36" s="26"/>
      <c r="K36" s="26"/>
      <c r="L36" s="26"/>
      <c r="M36" s="26"/>
      <c r="N36" s="26"/>
      <c r="O36" s="26"/>
      <c r="P36" s="26"/>
      <c r="Q36" s="26"/>
      <c r="R36" s="26"/>
      <c r="S36" s="5">
        <v>4.7</v>
      </c>
      <c r="AC36" s="5">
        <v>6</v>
      </c>
    </row>
    <row r="37" spans="9:18"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9:18"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9:18"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9:18">
      <c r="I40" s="26"/>
      <c r="J40" s="26"/>
      <c r="K40" s="26"/>
      <c r="L40" s="26"/>
      <c r="M40" s="26"/>
      <c r="N40" s="26"/>
      <c r="O40" s="26"/>
      <c r="P40" s="26"/>
      <c r="Q40" s="26"/>
      <c r="R40" s="26"/>
    </row>
  </sheetData>
  <sortState ref="AC21:AC36">
    <sortCondition ref="AC21:AC36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41"/>
  <sheetViews>
    <sheetView zoomScale="82" zoomScaleNormal="82" workbookViewId="0">
      <selection activeCell="K15" sqref="K15"/>
    </sheetView>
  </sheetViews>
  <sheetFormatPr defaultColWidth="9.14285714285714" defaultRowHeight="16.8"/>
  <cols>
    <col min="5" max="5" width="12.6428571428571" customWidth="1"/>
    <col min="6" max="6" width="15.3214285714286" customWidth="1"/>
    <col min="7" max="7" width="17.8482142857143" customWidth="1"/>
    <col min="8" max="8" width="15.9196428571429" customWidth="1"/>
    <col min="9" max="9" width="16.3571428571429" customWidth="1"/>
    <col min="15" max="15" width="19.7857142857143" customWidth="1"/>
    <col min="16" max="16" width="17.2589285714286" customWidth="1"/>
    <col min="17" max="17" width="18" customWidth="1"/>
    <col min="18" max="18" width="16.0625" customWidth="1"/>
    <col min="19" max="19" width="15.9196428571429" customWidth="1"/>
    <col min="20" max="20" width="13.9732142857143" customWidth="1"/>
    <col min="22" max="22" width="12.7857142857143"/>
  </cols>
  <sheetData>
    <row r="2" ht="20.4" spans="2:20">
      <c r="B2" s="2" t="s">
        <v>0</v>
      </c>
      <c r="C2" s="2" t="s">
        <v>1</v>
      </c>
      <c r="D2" s="2" t="s">
        <v>2</v>
      </c>
      <c r="E2" s="2" t="s">
        <v>3</v>
      </c>
      <c r="F2" s="14" t="s">
        <v>4</v>
      </c>
      <c r="G2" s="2" t="s">
        <v>5</v>
      </c>
      <c r="H2" s="15" t="s">
        <v>6</v>
      </c>
      <c r="I2" s="5" t="s">
        <v>7</v>
      </c>
      <c r="L2" s="2" t="s">
        <v>0</v>
      </c>
      <c r="M2" s="2" t="s">
        <v>1</v>
      </c>
      <c r="N2" s="2" t="s">
        <v>2</v>
      </c>
      <c r="O2" s="2" t="s">
        <v>3</v>
      </c>
      <c r="P2" s="14" t="s">
        <v>4</v>
      </c>
      <c r="Q2" s="2" t="s">
        <v>5</v>
      </c>
      <c r="R2" s="15" t="s">
        <v>6</v>
      </c>
      <c r="S2" s="5" t="s">
        <v>7</v>
      </c>
      <c r="T2" s="23" t="s">
        <v>8</v>
      </c>
    </row>
    <row r="3" ht="20.4" spans="2:20">
      <c r="B3" s="2">
        <v>384</v>
      </c>
      <c r="C3" s="2">
        <v>83968</v>
      </c>
      <c r="D3" s="2">
        <v>384</v>
      </c>
      <c r="E3" s="2">
        <v>908</v>
      </c>
      <c r="F3" s="14">
        <v>12.7</v>
      </c>
      <c r="G3" s="2">
        <v>1613</v>
      </c>
      <c r="H3" s="15">
        <v>22.5</v>
      </c>
      <c r="I3" s="5">
        <v>9.8</v>
      </c>
      <c r="L3" s="2">
        <v>384</v>
      </c>
      <c r="M3" s="2">
        <v>83584</v>
      </c>
      <c r="N3" s="2">
        <v>384</v>
      </c>
      <c r="O3" s="2">
        <v>908</v>
      </c>
      <c r="P3" s="14">
        <v>12.7</v>
      </c>
      <c r="Q3" s="2">
        <v>1913</v>
      </c>
      <c r="R3" s="15">
        <f>Q3/(1.55*8*8*2*36)*100</f>
        <v>26.7837141577061</v>
      </c>
      <c r="S3" s="21">
        <f>R3-P3</f>
        <v>14.0837141577061</v>
      </c>
      <c r="T3" s="24">
        <f>Q3/O3</f>
        <v>2.1068281938326</v>
      </c>
    </row>
    <row r="4" ht="20.4" spans="2:20">
      <c r="B4" s="2">
        <v>384</v>
      </c>
      <c r="C4" s="2">
        <v>83584</v>
      </c>
      <c r="D4" s="2">
        <v>384</v>
      </c>
      <c r="E4" s="2">
        <v>910</v>
      </c>
      <c r="F4" s="14">
        <v>12.7</v>
      </c>
      <c r="G4" s="2">
        <v>1618</v>
      </c>
      <c r="H4" s="15">
        <v>22.6</v>
      </c>
      <c r="I4" s="5">
        <v>9.9</v>
      </c>
      <c r="L4" s="2">
        <v>384</v>
      </c>
      <c r="M4" s="2">
        <v>83200</v>
      </c>
      <c r="N4" s="2">
        <v>384</v>
      </c>
      <c r="O4" s="2">
        <v>910</v>
      </c>
      <c r="P4" s="14">
        <v>12.7</v>
      </c>
      <c r="Q4" s="2">
        <v>1918</v>
      </c>
      <c r="R4" s="15">
        <f t="shared" ref="R4:R31" si="0">Q4/(1.55*8*8*2*36)*100</f>
        <v>26.8537186379928</v>
      </c>
      <c r="S4" s="21">
        <f t="shared" ref="S4:S31" si="1">R4-P4</f>
        <v>14.1537186379928</v>
      </c>
      <c r="T4" s="24">
        <f t="shared" ref="T4:T31" si="2">Q4/O4</f>
        <v>2.10769230769231</v>
      </c>
    </row>
    <row r="5" ht="20.4" spans="2:20">
      <c r="B5" s="2">
        <v>384</v>
      </c>
      <c r="C5" s="2">
        <v>81280</v>
      </c>
      <c r="D5" s="2">
        <v>384</v>
      </c>
      <c r="E5" s="2">
        <v>911</v>
      </c>
      <c r="F5" s="14">
        <v>12.7</v>
      </c>
      <c r="G5" s="2">
        <v>1611</v>
      </c>
      <c r="H5" s="15">
        <v>22.5</v>
      </c>
      <c r="I5" s="5">
        <v>9.8</v>
      </c>
      <c r="L5" s="2">
        <v>384</v>
      </c>
      <c r="M5" s="2">
        <v>81646</v>
      </c>
      <c r="N5" s="2">
        <v>384</v>
      </c>
      <c r="O5" s="2">
        <v>911</v>
      </c>
      <c r="P5" s="14">
        <v>12.7</v>
      </c>
      <c r="Q5" s="2">
        <v>1911</v>
      </c>
      <c r="R5" s="15">
        <f t="shared" si="0"/>
        <v>26.7557123655914</v>
      </c>
      <c r="S5" s="21">
        <f t="shared" si="1"/>
        <v>14.0557123655914</v>
      </c>
      <c r="T5" s="24">
        <f t="shared" si="2"/>
        <v>2.09769484083425</v>
      </c>
    </row>
    <row r="6" ht="20.4" spans="2:20">
      <c r="B6" s="2">
        <v>384</v>
      </c>
      <c r="C6" s="2">
        <v>79744</v>
      </c>
      <c r="D6" s="2">
        <v>384</v>
      </c>
      <c r="E6" s="2">
        <v>904</v>
      </c>
      <c r="F6" s="14">
        <v>12.6</v>
      </c>
      <c r="G6" s="2">
        <v>1593</v>
      </c>
      <c r="H6" s="15">
        <v>22.3</v>
      </c>
      <c r="I6" s="5">
        <v>9.7</v>
      </c>
      <c r="L6" s="2">
        <v>384</v>
      </c>
      <c r="M6" s="2">
        <v>79744</v>
      </c>
      <c r="N6" s="2">
        <v>384</v>
      </c>
      <c r="O6" s="2">
        <v>904</v>
      </c>
      <c r="P6" s="14">
        <v>12.6</v>
      </c>
      <c r="Q6" s="2">
        <v>1893</v>
      </c>
      <c r="R6" s="15">
        <f t="shared" si="0"/>
        <v>26.5036962365591</v>
      </c>
      <c r="S6" s="21">
        <f t="shared" si="1"/>
        <v>13.9036962365591</v>
      </c>
      <c r="T6" s="24">
        <f t="shared" si="2"/>
        <v>2.09402654867257</v>
      </c>
    </row>
    <row r="7" ht="20.4" spans="2:20">
      <c r="B7" s="2">
        <v>384</v>
      </c>
      <c r="C7" s="2">
        <v>77056</v>
      </c>
      <c r="D7" s="2">
        <v>384</v>
      </c>
      <c r="E7" s="2">
        <v>903</v>
      </c>
      <c r="F7" s="14">
        <v>12.6</v>
      </c>
      <c r="G7" s="2">
        <v>1608</v>
      </c>
      <c r="H7" s="15">
        <v>22.5</v>
      </c>
      <c r="I7" s="5">
        <v>9.9</v>
      </c>
      <c r="L7" s="2">
        <v>384</v>
      </c>
      <c r="M7" s="2">
        <v>77824</v>
      </c>
      <c r="N7" s="2">
        <v>384</v>
      </c>
      <c r="O7" s="2">
        <v>903</v>
      </c>
      <c r="P7" s="14">
        <v>12.6</v>
      </c>
      <c r="Q7" s="2">
        <v>1908</v>
      </c>
      <c r="R7" s="15">
        <f t="shared" si="0"/>
        <v>26.7137096774194</v>
      </c>
      <c r="S7" s="21">
        <f t="shared" si="1"/>
        <v>14.1137096774194</v>
      </c>
      <c r="T7" s="24">
        <f t="shared" si="2"/>
        <v>2.11295681063123</v>
      </c>
    </row>
    <row r="8" ht="20.4" spans="2:20">
      <c r="B8" s="2">
        <v>384</v>
      </c>
      <c r="C8" s="2">
        <v>75520</v>
      </c>
      <c r="D8" s="2">
        <v>384</v>
      </c>
      <c r="E8" s="2">
        <v>900</v>
      </c>
      <c r="F8" s="14">
        <v>12.6</v>
      </c>
      <c r="G8" s="2">
        <v>1597</v>
      </c>
      <c r="H8" s="15">
        <v>22.3</v>
      </c>
      <c r="I8" s="5">
        <v>9.7</v>
      </c>
      <c r="L8" s="2">
        <v>384</v>
      </c>
      <c r="M8" s="2">
        <v>75520</v>
      </c>
      <c r="N8" s="2">
        <v>384</v>
      </c>
      <c r="O8" s="2">
        <v>900</v>
      </c>
      <c r="P8" s="14">
        <v>12.6</v>
      </c>
      <c r="Q8" s="2">
        <v>1897</v>
      </c>
      <c r="R8" s="15">
        <f t="shared" si="0"/>
        <v>26.5596998207885</v>
      </c>
      <c r="S8" s="21">
        <f t="shared" si="1"/>
        <v>13.9596998207885</v>
      </c>
      <c r="T8" s="24">
        <f t="shared" si="2"/>
        <v>2.10777777777778</v>
      </c>
    </row>
    <row r="9" ht="20.4" spans="2:20">
      <c r="B9" s="2">
        <v>384</v>
      </c>
      <c r="C9" s="2">
        <v>73600</v>
      </c>
      <c r="D9" s="2">
        <v>384</v>
      </c>
      <c r="E9" s="2">
        <v>898</v>
      </c>
      <c r="F9" s="14">
        <v>12.5</v>
      </c>
      <c r="G9" s="2">
        <v>1580</v>
      </c>
      <c r="H9" s="15">
        <v>22</v>
      </c>
      <c r="I9" s="5">
        <v>9.5</v>
      </c>
      <c r="L9" s="2">
        <v>384</v>
      </c>
      <c r="M9" s="2">
        <v>73216</v>
      </c>
      <c r="N9" s="2">
        <v>384</v>
      </c>
      <c r="O9" s="2">
        <v>898</v>
      </c>
      <c r="P9" s="14">
        <v>12.5</v>
      </c>
      <c r="Q9" s="2">
        <v>1880</v>
      </c>
      <c r="R9" s="15">
        <f t="shared" si="0"/>
        <v>26.3216845878136</v>
      </c>
      <c r="S9" s="21">
        <f t="shared" si="1"/>
        <v>13.8216845878136</v>
      </c>
      <c r="T9" s="24">
        <f t="shared" si="2"/>
        <v>2.09354120267261</v>
      </c>
    </row>
    <row r="10" ht="20.4" spans="2:20">
      <c r="B10" s="2">
        <v>384</v>
      </c>
      <c r="C10" s="2">
        <v>61696</v>
      </c>
      <c r="D10" s="2">
        <v>384</v>
      </c>
      <c r="E10" s="2">
        <v>892</v>
      </c>
      <c r="F10" s="14">
        <v>12.49</v>
      </c>
      <c r="G10" s="2">
        <v>1541</v>
      </c>
      <c r="H10" s="15">
        <v>21.58</v>
      </c>
      <c r="I10" s="21">
        <v>9.09</v>
      </c>
      <c r="L10" s="2">
        <v>384</v>
      </c>
      <c r="M10" s="2">
        <v>66304</v>
      </c>
      <c r="N10" s="2">
        <v>384</v>
      </c>
      <c r="O10" s="2">
        <v>892</v>
      </c>
      <c r="P10" s="14">
        <v>12.49</v>
      </c>
      <c r="Q10" s="2">
        <v>1841</v>
      </c>
      <c r="R10" s="15">
        <f t="shared" si="0"/>
        <v>25.7756496415771</v>
      </c>
      <c r="S10" s="21">
        <f t="shared" si="1"/>
        <v>13.2856496415771</v>
      </c>
      <c r="T10" s="24">
        <f t="shared" si="2"/>
        <v>2.06390134529148</v>
      </c>
    </row>
    <row r="11" ht="20.4" spans="2:20">
      <c r="B11" s="2">
        <v>384</v>
      </c>
      <c r="C11" s="2">
        <v>61312</v>
      </c>
      <c r="D11" s="2">
        <v>384</v>
      </c>
      <c r="E11" s="2">
        <v>891</v>
      </c>
      <c r="F11" s="14">
        <v>12.47</v>
      </c>
      <c r="G11" s="2">
        <v>1533</v>
      </c>
      <c r="H11" s="15">
        <v>21.46</v>
      </c>
      <c r="I11" s="21">
        <v>8.99</v>
      </c>
      <c r="L11" s="2">
        <v>384</v>
      </c>
      <c r="M11" s="2">
        <v>63232</v>
      </c>
      <c r="N11" s="2">
        <v>384</v>
      </c>
      <c r="O11" s="2">
        <v>891</v>
      </c>
      <c r="P11" s="14">
        <v>12.47</v>
      </c>
      <c r="Q11" s="2">
        <v>1833</v>
      </c>
      <c r="R11" s="15">
        <f t="shared" si="0"/>
        <v>25.6636424731183</v>
      </c>
      <c r="S11" s="21">
        <f t="shared" si="1"/>
        <v>13.1936424731183</v>
      </c>
      <c r="T11" s="24">
        <f t="shared" si="2"/>
        <v>2.05723905723906</v>
      </c>
    </row>
    <row r="12" ht="20.4" spans="2:20">
      <c r="B12" s="2">
        <v>384</v>
      </c>
      <c r="C12" s="2">
        <v>49408</v>
      </c>
      <c r="D12" s="2">
        <v>384</v>
      </c>
      <c r="E12" s="2">
        <v>899</v>
      </c>
      <c r="F12" s="14">
        <v>12.59</v>
      </c>
      <c r="G12" s="2">
        <v>1442</v>
      </c>
      <c r="H12" s="15">
        <v>20.19</v>
      </c>
      <c r="I12" s="21">
        <v>7.6</v>
      </c>
      <c r="L12" s="2">
        <v>384</v>
      </c>
      <c r="M12" s="2">
        <v>60544</v>
      </c>
      <c r="N12" s="2">
        <v>384</v>
      </c>
      <c r="O12" s="2">
        <v>899</v>
      </c>
      <c r="P12" s="14">
        <v>12.59</v>
      </c>
      <c r="Q12" s="2">
        <v>1742</v>
      </c>
      <c r="R12" s="15">
        <f t="shared" si="0"/>
        <v>24.3895609318996</v>
      </c>
      <c r="S12" s="21">
        <f t="shared" si="1"/>
        <v>11.7995609318996</v>
      </c>
      <c r="T12" s="24">
        <f t="shared" si="2"/>
        <v>1.9377085650723</v>
      </c>
    </row>
    <row r="13" ht="20.4" spans="2:20">
      <c r="B13" s="2">
        <v>384</v>
      </c>
      <c r="C13" s="2">
        <v>49024</v>
      </c>
      <c r="D13" s="2">
        <v>384</v>
      </c>
      <c r="E13" s="2">
        <v>920</v>
      </c>
      <c r="F13" s="14">
        <v>12.88</v>
      </c>
      <c r="G13" s="2">
        <v>1423</v>
      </c>
      <c r="H13" s="15">
        <v>19.92</v>
      </c>
      <c r="I13" s="21">
        <v>7.04</v>
      </c>
      <c r="L13" s="2">
        <v>384</v>
      </c>
      <c r="M13" s="2">
        <v>59008</v>
      </c>
      <c r="N13" s="2">
        <v>384</v>
      </c>
      <c r="O13" s="2">
        <v>920</v>
      </c>
      <c r="P13" s="14">
        <v>12.88</v>
      </c>
      <c r="Q13" s="2">
        <v>1723</v>
      </c>
      <c r="R13" s="15">
        <f t="shared" si="0"/>
        <v>24.12354390681</v>
      </c>
      <c r="S13" s="21">
        <f t="shared" si="1"/>
        <v>11.24354390681</v>
      </c>
      <c r="T13" s="24">
        <f t="shared" si="2"/>
        <v>1.87282608695652</v>
      </c>
    </row>
    <row r="14" ht="20.4" spans="2:20">
      <c r="B14" s="2">
        <v>384</v>
      </c>
      <c r="C14" s="2">
        <v>48640</v>
      </c>
      <c r="D14" s="2">
        <v>384</v>
      </c>
      <c r="E14" s="2">
        <v>918</v>
      </c>
      <c r="F14" s="14">
        <v>12.85</v>
      </c>
      <c r="G14" s="2">
        <v>1449</v>
      </c>
      <c r="H14" s="15">
        <v>20.29</v>
      </c>
      <c r="I14" s="21">
        <v>7.43</v>
      </c>
      <c r="L14" s="2">
        <v>384</v>
      </c>
      <c r="M14" s="2">
        <v>56704</v>
      </c>
      <c r="N14" s="2">
        <v>384</v>
      </c>
      <c r="O14" s="2">
        <v>918</v>
      </c>
      <c r="P14" s="14">
        <v>12.85</v>
      </c>
      <c r="Q14" s="2">
        <v>1749</v>
      </c>
      <c r="R14" s="15">
        <f t="shared" si="0"/>
        <v>24.4875672043011</v>
      </c>
      <c r="S14" s="21">
        <f t="shared" si="1"/>
        <v>11.6375672043011</v>
      </c>
      <c r="T14" s="24">
        <f t="shared" si="2"/>
        <v>1.90522875816993</v>
      </c>
    </row>
    <row r="15" ht="20.4" spans="2:20">
      <c r="B15" s="2">
        <v>384</v>
      </c>
      <c r="C15" s="2">
        <v>47104</v>
      </c>
      <c r="D15" s="2">
        <v>384</v>
      </c>
      <c r="E15" s="2">
        <v>914</v>
      </c>
      <c r="F15" s="14">
        <v>12.8</v>
      </c>
      <c r="G15" s="2">
        <v>1441</v>
      </c>
      <c r="H15" s="15">
        <v>20.18</v>
      </c>
      <c r="I15" s="21">
        <v>7.38</v>
      </c>
      <c r="L15" s="2">
        <v>384</v>
      </c>
      <c r="M15" s="2">
        <v>50944</v>
      </c>
      <c r="N15" s="2">
        <v>384</v>
      </c>
      <c r="O15" s="2">
        <v>914</v>
      </c>
      <c r="P15" s="14">
        <v>12.8</v>
      </c>
      <c r="Q15" s="2">
        <v>1741</v>
      </c>
      <c r="R15" s="15">
        <f t="shared" si="0"/>
        <v>24.3755600358423</v>
      </c>
      <c r="S15" s="21">
        <f t="shared" si="1"/>
        <v>11.5755600358423</v>
      </c>
      <c r="T15" s="24">
        <f t="shared" si="2"/>
        <v>1.90481400437637</v>
      </c>
    </row>
    <row r="16" ht="20.4" spans="2:20">
      <c r="B16" s="2">
        <v>384</v>
      </c>
      <c r="C16" s="2">
        <v>35584</v>
      </c>
      <c r="D16" s="2">
        <v>384</v>
      </c>
      <c r="E16" s="2">
        <v>886</v>
      </c>
      <c r="F16" s="14">
        <v>12.4</v>
      </c>
      <c r="G16" s="2">
        <v>1342</v>
      </c>
      <c r="H16" s="15">
        <v>18.79</v>
      </c>
      <c r="I16" s="21">
        <v>6.38</v>
      </c>
      <c r="L16" s="2">
        <v>384</v>
      </c>
      <c r="M16" s="2">
        <v>47872</v>
      </c>
      <c r="N16" s="2">
        <v>384</v>
      </c>
      <c r="O16" s="2">
        <v>886</v>
      </c>
      <c r="P16" s="14">
        <v>12.4</v>
      </c>
      <c r="Q16" s="2">
        <v>1642</v>
      </c>
      <c r="R16" s="15">
        <f t="shared" si="0"/>
        <v>22.9894713261649</v>
      </c>
      <c r="S16" s="21">
        <f t="shared" si="1"/>
        <v>10.5894713261649</v>
      </c>
      <c r="T16" s="24">
        <f t="shared" si="2"/>
        <v>1.85327313769752</v>
      </c>
    </row>
    <row r="17" ht="20.4" spans="2:20">
      <c r="B17" s="2">
        <v>384</v>
      </c>
      <c r="C17" s="2">
        <v>35200</v>
      </c>
      <c r="D17" s="2">
        <v>384</v>
      </c>
      <c r="E17" s="2">
        <v>882</v>
      </c>
      <c r="F17" s="14">
        <v>12.35</v>
      </c>
      <c r="G17" s="2">
        <v>1333</v>
      </c>
      <c r="H17" s="15">
        <v>18.66</v>
      </c>
      <c r="I17" s="21">
        <v>6.31</v>
      </c>
      <c r="L17" s="2">
        <v>384</v>
      </c>
      <c r="M17" s="2">
        <v>44416</v>
      </c>
      <c r="N17" s="2">
        <v>384</v>
      </c>
      <c r="O17" s="2">
        <v>882</v>
      </c>
      <c r="P17" s="14">
        <v>12.35</v>
      </c>
      <c r="Q17" s="2">
        <v>1633</v>
      </c>
      <c r="R17" s="15">
        <f t="shared" si="0"/>
        <v>22.8634632616487</v>
      </c>
      <c r="S17" s="21">
        <f t="shared" si="1"/>
        <v>10.5134632616487</v>
      </c>
      <c r="T17" s="24">
        <f t="shared" si="2"/>
        <v>1.85147392290249</v>
      </c>
    </row>
    <row r="18" ht="20.4" spans="2:20">
      <c r="B18" s="2">
        <v>384</v>
      </c>
      <c r="C18" s="2">
        <v>34816</v>
      </c>
      <c r="D18" s="2">
        <v>384</v>
      </c>
      <c r="E18" s="2">
        <v>879</v>
      </c>
      <c r="F18" s="14">
        <v>12.31</v>
      </c>
      <c r="G18" s="2">
        <v>1315</v>
      </c>
      <c r="H18" s="15">
        <v>18.41</v>
      </c>
      <c r="I18" s="21">
        <v>6.1</v>
      </c>
      <c r="L18" s="2">
        <v>384</v>
      </c>
      <c r="M18" s="2">
        <v>43264</v>
      </c>
      <c r="N18" s="2">
        <v>384</v>
      </c>
      <c r="O18" s="2">
        <v>879</v>
      </c>
      <c r="P18" s="14">
        <v>12.31</v>
      </c>
      <c r="Q18" s="2">
        <v>1615</v>
      </c>
      <c r="R18" s="15">
        <f t="shared" si="0"/>
        <v>22.6114471326165</v>
      </c>
      <c r="S18" s="21">
        <f t="shared" si="1"/>
        <v>10.3014471326165</v>
      </c>
      <c r="T18" s="24">
        <f t="shared" si="2"/>
        <v>1.83731513083049</v>
      </c>
    </row>
    <row r="19" ht="20.4" spans="2:20">
      <c r="B19" s="2">
        <v>384</v>
      </c>
      <c r="C19" s="2">
        <v>34432</v>
      </c>
      <c r="D19" s="2">
        <v>384</v>
      </c>
      <c r="E19" s="2">
        <v>883</v>
      </c>
      <c r="F19" s="14">
        <v>12.36</v>
      </c>
      <c r="G19" s="2">
        <v>1305</v>
      </c>
      <c r="H19" s="15">
        <v>18.27</v>
      </c>
      <c r="I19" s="21">
        <v>5.91</v>
      </c>
      <c r="L19" s="2">
        <v>384</v>
      </c>
      <c r="M19" s="2">
        <v>41344</v>
      </c>
      <c r="N19" s="2">
        <v>384</v>
      </c>
      <c r="O19" s="2">
        <v>880</v>
      </c>
      <c r="P19" s="14">
        <v>12.35</v>
      </c>
      <c r="Q19" s="2">
        <v>1600</v>
      </c>
      <c r="R19" s="15">
        <f t="shared" si="0"/>
        <v>22.4014336917563</v>
      </c>
      <c r="S19" s="21">
        <f t="shared" si="1"/>
        <v>10.0514336917563</v>
      </c>
      <c r="T19" s="24">
        <f t="shared" si="2"/>
        <v>1.81818181818182</v>
      </c>
    </row>
    <row r="20" ht="20.4" spans="2:20">
      <c r="B20" s="2">
        <v>384</v>
      </c>
      <c r="C20" s="2">
        <v>34048</v>
      </c>
      <c r="D20" s="2">
        <v>384</v>
      </c>
      <c r="E20" s="2">
        <v>883</v>
      </c>
      <c r="F20" s="14">
        <v>12.36</v>
      </c>
      <c r="G20" s="2">
        <v>1298</v>
      </c>
      <c r="H20" s="15">
        <v>18.17</v>
      </c>
      <c r="I20" s="21">
        <v>5.81</v>
      </c>
      <c r="L20" s="2">
        <v>384</v>
      </c>
      <c r="M20" s="2">
        <v>39040</v>
      </c>
      <c r="N20" s="2">
        <v>384</v>
      </c>
      <c r="O20" s="2">
        <v>883</v>
      </c>
      <c r="P20" s="14">
        <v>12.36</v>
      </c>
      <c r="Q20" s="2">
        <v>1605</v>
      </c>
      <c r="R20" s="15">
        <f t="shared" si="0"/>
        <v>22.471438172043</v>
      </c>
      <c r="S20" s="21">
        <f t="shared" si="1"/>
        <v>10.111438172043</v>
      </c>
      <c r="T20" s="24">
        <f t="shared" si="2"/>
        <v>1.81766704416761</v>
      </c>
    </row>
    <row r="21" ht="20.4" spans="2:20">
      <c r="B21" s="2">
        <v>384</v>
      </c>
      <c r="C21" s="2">
        <v>33664</v>
      </c>
      <c r="D21" s="2">
        <v>384</v>
      </c>
      <c r="E21" s="2">
        <v>876</v>
      </c>
      <c r="F21" s="14">
        <v>12.26</v>
      </c>
      <c r="G21" s="2">
        <v>1291</v>
      </c>
      <c r="H21" s="15">
        <v>18.08</v>
      </c>
      <c r="I21" s="21">
        <v>5.81</v>
      </c>
      <c r="L21" s="2">
        <v>384</v>
      </c>
      <c r="M21" s="2">
        <v>34432</v>
      </c>
      <c r="N21" s="2">
        <v>384</v>
      </c>
      <c r="O21" s="2">
        <v>876</v>
      </c>
      <c r="P21" s="14">
        <v>12.26</v>
      </c>
      <c r="Q21" s="2">
        <v>1591</v>
      </c>
      <c r="R21" s="15">
        <f t="shared" si="0"/>
        <v>22.2754256272401</v>
      </c>
      <c r="S21" s="21">
        <f t="shared" si="1"/>
        <v>10.0154256272401</v>
      </c>
      <c r="T21" s="24">
        <f t="shared" si="2"/>
        <v>1.8162100456621</v>
      </c>
    </row>
    <row r="22" ht="20.4" spans="2:20">
      <c r="B22" s="2">
        <v>384</v>
      </c>
      <c r="C22" s="2">
        <v>33280</v>
      </c>
      <c r="D22" s="2">
        <v>384</v>
      </c>
      <c r="E22" s="2">
        <v>872</v>
      </c>
      <c r="F22" s="14">
        <v>12.21</v>
      </c>
      <c r="G22" s="2">
        <v>1282</v>
      </c>
      <c r="H22" s="15">
        <v>17.95</v>
      </c>
      <c r="I22" s="21">
        <v>5.74</v>
      </c>
      <c r="L22" s="2">
        <v>384</v>
      </c>
      <c r="M22" s="2">
        <v>32512</v>
      </c>
      <c r="N22" s="2">
        <v>384</v>
      </c>
      <c r="O22" s="2">
        <v>872</v>
      </c>
      <c r="P22" s="14">
        <v>12.21</v>
      </c>
      <c r="Q22" s="2">
        <v>1582</v>
      </c>
      <c r="R22" s="15">
        <f t="shared" si="0"/>
        <v>22.149417562724</v>
      </c>
      <c r="S22" s="21">
        <f t="shared" si="1"/>
        <v>9.93941756272401</v>
      </c>
      <c r="T22" s="24">
        <f t="shared" si="2"/>
        <v>1.81422018348624</v>
      </c>
    </row>
    <row r="23" ht="20.4" spans="2:20">
      <c r="B23" s="2">
        <v>384</v>
      </c>
      <c r="C23" s="2">
        <v>22144</v>
      </c>
      <c r="D23" s="2">
        <v>384</v>
      </c>
      <c r="E23" s="2">
        <v>816</v>
      </c>
      <c r="F23" s="14">
        <v>11.42</v>
      </c>
      <c r="G23" s="2">
        <v>1196</v>
      </c>
      <c r="H23" s="15">
        <v>16.75</v>
      </c>
      <c r="I23" s="21">
        <v>5.32</v>
      </c>
      <c r="L23" s="2">
        <v>384</v>
      </c>
      <c r="M23" s="2">
        <v>29440</v>
      </c>
      <c r="N23" s="2">
        <v>384</v>
      </c>
      <c r="O23" s="2">
        <v>816</v>
      </c>
      <c r="P23" s="14">
        <v>11.42</v>
      </c>
      <c r="Q23" s="2">
        <v>1596</v>
      </c>
      <c r="R23" s="15">
        <f t="shared" si="0"/>
        <v>22.3454301075269</v>
      </c>
      <c r="S23" s="21">
        <f t="shared" si="1"/>
        <v>10.9254301075269</v>
      </c>
      <c r="T23" s="24">
        <f t="shared" si="2"/>
        <v>1.95588235294118</v>
      </c>
    </row>
    <row r="24" ht="20.4" spans="2:20">
      <c r="B24" s="2">
        <v>384</v>
      </c>
      <c r="C24" s="2">
        <v>21376</v>
      </c>
      <c r="D24" s="2">
        <v>384</v>
      </c>
      <c r="E24" s="2">
        <v>807</v>
      </c>
      <c r="F24" s="14">
        <v>11.3</v>
      </c>
      <c r="G24" s="2">
        <v>1186</v>
      </c>
      <c r="H24" s="15">
        <v>16.61</v>
      </c>
      <c r="I24" s="21">
        <v>5.31</v>
      </c>
      <c r="L24" s="2">
        <v>384</v>
      </c>
      <c r="M24" s="2">
        <v>27904</v>
      </c>
      <c r="N24" s="2">
        <v>384</v>
      </c>
      <c r="O24" s="2">
        <v>807</v>
      </c>
      <c r="P24" s="14">
        <v>11.3</v>
      </c>
      <c r="Q24" s="2">
        <v>1586</v>
      </c>
      <c r="R24" s="15">
        <f t="shared" si="0"/>
        <v>22.2054211469534</v>
      </c>
      <c r="S24" s="21">
        <f t="shared" si="1"/>
        <v>10.9054211469534</v>
      </c>
      <c r="T24" s="24">
        <f t="shared" si="2"/>
        <v>1.96530359355638</v>
      </c>
    </row>
    <row r="25" ht="20.4" spans="2:20">
      <c r="B25" s="2">
        <v>384</v>
      </c>
      <c r="C25" s="2">
        <v>20992</v>
      </c>
      <c r="D25" s="2">
        <v>384</v>
      </c>
      <c r="E25" s="2">
        <v>805</v>
      </c>
      <c r="F25" s="14">
        <v>11.27</v>
      </c>
      <c r="G25" s="2">
        <v>1174</v>
      </c>
      <c r="H25" s="15">
        <v>16.44</v>
      </c>
      <c r="I25" s="21">
        <v>5.17</v>
      </c>
      <c r="L25" s="2">
        <v>384</v>
      </c>
      <c r="M25" s="2">
        <v>24064</v>
      </c>
      <c r="N25" s="2">
        <v>384</v>
      </c>
      <c r="O25" s="2">
        <v>805</v>
      </c>
      <c r="P25" s="14">
        <v>11.27</v>
      </c>
      <c r="Q25" s="2">
        <v>1574</v>
      </c>
      <c r="R25" s="15">
        <f t="shared" si="0"/>
        <v>22.0374103942652</v>
      </c>
      <c r="S25" s="21">
        <f t="shared" si="1"/>
        <v>10.7674103942652</v>
      </c>
      <c r="T25" s="24">
        <f t="shared" si="2"/>
        <v>1.95527950310559</v>
      </c>
    </row>
    <row r="26" ht="20.4" spans="2:22">
      <c r="B26" s="2">
        <v>384</v>
      </c>
      <c r="C26" s="2">
        <v>20608</v>
      </c>
      <c r="D26" s="2">
        <v>384</v>
      </c>
      <c r="E26" s="2">
        <v>805</v>
      </c>
      <c r="F26" s="14">
        <v>11.27</v>
      </c>
      <c r="G26" s="2">
        <v>1164</v>
      </c>
      <c r="H26" s="15">
        <v>16.3</v>
      </c>
      <c r="I26" s="21">
        <v>5.03</v>
      </c>
      <c r="L26" s="2">
        <v>384</v>
      </c>
      <c r="M26" s="2">
        <v>22912</v>
      </c>
      <c r="N26" s="2">
        <v>384</v>
      </c>
      <c r="O26" s="2">
        <v>805</v>
      </c>
      <c r="P26" s="14">
        <v>11.27</v>
      </c>
      <c r="Q26" s="2">
        <v>1564</v>
      </c>
      <c r="R26" s="15">
        <f t="shared" si="0"/>
        <v>21.8974014336918</v>
      </c>
      <c r="S26" s="21">
        <f t="shared" si="1"/>
        <v>10.6274014336918</v>
      </c>
      <c r="T26" s="24">
        <f t="shared" si="2"/>
        <v>1.94285714285714</v>
      </c>
      <c r="U26" s="25" t="s">
        <v>9</v>
      </c>
      <c r="V26" s="24">
        <f>SUM(T3:T26)/COUNT(T3:T26)</f>
        <v>1.96207914060865</v>
      </c>
    </row>
    <row r="27" ht="20.4" spans="2:20">
      <c r="B27" s="2">
        <v>384</v>
      </c>
      <c r="C27" s="2">
        <v>7936</v>
      </c>
      <c r="D27" s="2">
        <v>384</v>
      </c>
      <c r="E27" s="2">
        <v>662</v>
      </c>
      <c r="F27" s="14">
        <v>9.27</v>
      </c>
      <c r="G27" s="2">
        <v>828</v>
      </c>
      <c r="H27" s="15">
        <v>11.59</v>
      </c>
      <c r="I27" s="21">
        <v>2.32</v>
      </c>
      <c r="L27" s="2">
        <v>384</v>
      </c>
      <c r="M27" s="2">
        <v>7936</v>
      </c>
      <c r="N27" s="2">
        <v>384</v>
      </c>
      <c r="O27" s="2">
        <v>662</v>
      </c>
      <c r="P27" s="14">
        <v>9.27</v>
      </c>
      <c r="Q27" s="2">
        <v>828</v>
      </c>
      <c r="R27" s="15">
        <f t="shared" si="0"/>
        <v>11.5927419354839</v>
      </c>
      <c r="S27" s="21">
        <f t="shared" si="1"/>
        <v>2.32274193548387</v>
      </c>
      <c r="T27" s="24">
        <f t="shared" si="2"/>
        <v>1.25075528700906</v>
      </c>
    </row>
    <row r="28" ht="20.4" spans="2:20">
      <c r="B28" s="2">
        <v>384</v>
      </c>
      <c r="C28" s="2">
        <v>7552</v>
      </c>
      <c r="D28" s="2">
        <v>384</v>
      </c>
      <c r="E28" s="2">
        <v>658</v>
      </c>
      <c r="F28" s="14">
        <v>9.21</v>
      </c>
      <c r="G28" s="2">
        <v>846</v>
      </c>
      <c r="H28" s="15">
        <v>11.84</v>
      </c>
      <c r="I28" s="21">
        <v>2.63</v>
      </c>
      <c r="L28" s="2">
        <v>384</v>
      </c>
      <c r="M28" s="2">
        <v>7552</v>
      </c>
      <c r="N28" s="2">
        <v>384</v>
      </c>
      <c r="O28" s="2">
        <v>658</v>
      </c>
      <c r="P28" s="14">
        <v>9.21</v>
      </c>
      <c r="Q28" s="2">
        <v>846</v>
      </c>
      <c r="R28" s="15">
        <f t="shared" si="0"/>
        <v>11.8447580645161</v>
      </c>
      <c r="S28" s="21">
        <f t="shared" si="1"/>
        <v>2.63475806451613</v>
      </c>
      <c r="T28" s="24">
        <f t="shared" si="2"/>
        <v>1.28571428571429</v>
      </c>
    </row>
    <row r="29" ht="20.4" spans="2:20">
      <c r="B29" s="2">
        <v>384</v>
      </c>
      <c r="C29" s="2">
        <v>7168</v>
      </c>
      <c r="D29" s="2">
        <v>384</v>
      </c>
      <c r="E29" s="2">
        <v>648</v>
      </c>
      <c r="F29" s="14">
        <v>9.07</v>
      </c>
      <c r="G29" s="2">
        <v>835</v>
      </c>
      <c r="H29" s="15">
        <v>11.69</v>
      </c>
      <c r="I29" s="21">
        <v>2.62</v>
      </c>
      <c r="L29" s="2">
        <v>384</v>
      </c>
      <c r="M29" s="2">
        <v>7168</v>
      </c>
      <c r="N29" s="2">
        <v>384</v>
      </c>
      <c r="O29" s="2">
        <v>648</v>
      </c>
      <c r="P29" s="14">
        <v>9.07</v>
      </c>
      <c r="Q29" s="2">
        <v>835</v>
      </c>
      <c r="R29" s="15">
        <f t="shared" si="0"/>
        <v>11.6907482078853</v>
      </c>
      <c r="S29" s="21">
        <f t="shared" si="1"/>
        <v>2.6207482078853</v>
      </c>
      <c r="T29" s="24">
        <f t="shared" si="2"/>
        <v>1.28858024691358</v>
      </c>
    </row>
    <row r="30" ht="20.4" spans="2:20">
      <c r="B30" s="2">
        <v>384</v>
      </c>
      <c r="C30" s="2">
        <v>6400</v>
      </c>
      <c r="D30" s="2">
        <v>384</v>
      </c>
      <c r="E30" s="2">
        <v>634</v>
      </c>
      <c r="F30" s="14">
        <v>8.88</v>
      </c>
      <c r="G30" s="2">
        <v>803</v>
      </c>
      <c r="H30" s="15">
        <v>11.24</v>
      </c>
      <c r="I30" s="21">
        <v>2.37</v>
      </c>
      <c r="L30" s="2">
        <v>384</v>
      </c>
      <c r="M30" s="2">
        <v>6400</v>
      </c>
      <c r="N30" s="2">
        <v>384</v>
      </c>
      <c r="O30" s="2">
        <v>634</v>
      </c>
      <c r="P30" s="14">
        <v>8.88</v>
      </c>
      <c r="Q30" s="2">
        <v>803</v>
      </c>
      <c r="R30" s="15">
        <f t="shared" si="0"/>
        <v>11.2427195340502</v>
      </c>
      <c r="S30" s="21">
        <f t="shared" si="1"/>
        <v>2.36271953405018</v>
      </c>
      <c r="T30" s="24">
        <f t="shared" si="2"/>
        <v>1.26656151419558</v>
      </c>
    </row>
    <row r="32" ht="20.4" spans="13:15">
      <c r="M32" s="2"/>
      <c r="N32" s="2"/>
      <c r="O32" s="2"/>
    </row>
    <row r="33" ht="20.4" spans="13:15">
      <c r="M33" s="2"/>
      <c r="N33" s="2"/>
      <c r="O33" s="2"/>
    </row>
    <row r="34" ht="20.4" spans="13:15">
      <c r="M34" s="2"/>
      <c r="N34" s="2"/>
      <c r="O34" s="2"/>
    </row>
    <row r="35" ht="20.4" spans="13:15">
      <c r="M35" s="2"/>
      <c r="N35" s="2"/>
      <c r="O35" s="2"/>
    </row>
    <row r="36" ht="20.4" spans="13:15">
      <c r="M36" s="2"/>
      <c r="N36" s="2"/>
      <c r="O36" s="2"/>
    </row>
    <row r="37" ht="20.4" spans="13:15">
      <c r="M37" s="2"/>
      <c r="N37" s="2"/>
      <c r="O37" s="2"/>
    </row>
    <row r="38" ht="20.4" spans="13:15">
      <c r="M38" s="2"/>
      <c r="N38" s="2"/>
      <c r="O38" s="2"/>
    </row>
    <row r="39" ht="20.4" spans="13:15">
      <c r="M39" s="2"/>
      <c r="N39" s="2"/>
      <c r="O39" s="2"/>
    </row>
    <row r="40" ht="20.4" spans="13:15">
      <c r="M40" s="2"/>
      <c r="N40" s="2"/>
      <c r="O40" s="2"/>
    </row>
    <row r="41" ht="20.4" spans="13:15">
      <c r="M41" s="2"/>
      <c r="N41" s="2"/>
      <c r="O4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K41"/>
  <sheetViews>
    <sheetView zoomScale="83" zoomScaleNormal="83" topLeftCell="AX1" workbookViewId="0">
      <selection activeCell="AC3" sqref="AC3"/>
    </sheetView>
  </sheetViews>
  <sheetFormatPr defaultColWidth="9.14285714285714" defaultRowHeight="16.8"/>
  <cols>
    <col min="5" max="5" width="12.6428571428571" customWidth="1"/>
    <col min="6" max="6" width="15.3214285714286" customWidth="1"/>
    <col min="7" max="7" width="17.8482142857143" customWidth="1"/>
    <col min="8" max="8" width="15.9196428571429" customWidth="1"/>
    <col min="9" max="9" width="16.3571428571429" customWidth="1"/>
    <col min="10" max="10" width="17.2410714285714" customWidth="1"/>
    <col min="11" max="11" width="18.6875" customWidth="1"/>
    <col min="12" max="12" width="14.3303571428571" customWidth="1"/>
    <col min="13" max="13" width="16.5178571428571" customWidth="1"/>
    <col min="14" max="14" width="20.1428571428571" customWidth="1"/>
    <col min="15" max="15" width="19.7857142857143" customWidth="1"/>
    <col min="16" max="16" width="17.2589285714286" customWidth="1"/>
    <col min="17" max="17" width="18" customWidth="1"/>
    <col min="18" max="18" width="16.0625" customWidth="1"/>
    <col min="19" max="19" width="11.2410714285714" customWidth="1"/>
    <col min="20" max="20" width="13.9732142857143" customWidth="1"/>
    <col min="21" max="21" width="12.3392857142857" customWidth="1"/>
    <col min="22" max="22" width="12.7857142857143"/>
    <col min="23" max="23" width="12.1607142857143" customWidth="1"/>
    <col min="24" max="24" width="11.0714285714286" customWidth="1"/>
    <col min="25" max="25" width="13.0625" customWidth="1"/>
    <col min="26" max="26" width="12.5178571428571" customWidth="1"/>
    <col min="27" max="27" width="14.1517857142857" customWidth="1"/>
    <col min="28" max="28" width="15.2410714285714" customWidth="1"/>
    <col min="29" max="30" width="14.3303571428571" customWidth="1"/>
    <col min="31" max="31" width="19.4107142857143" customWidth="1"/>
    <col min="32" max="32" width="14.1607142857143" customWidth="1"/>
    <col min="33" max="33" width="15.7857142857143" customWidth="1"/>
    <col min="34" max="34" width="17.7767857142857" customWidth="1"/>
    <col min="35" max="35" width="10.5178571428571" customWidth="1"/>
    <col min="36" max="36" width="15.7857142857143" customWidth="1"/>
    <col min="37" max="38" width="14.5178571428571" customWidth="1"/>
    <col min="39" max="40" width="19.9553571428571" customWidth="1"/>
    <col min="41" max="42" width="21.2321428571429" customWidth="1"/>
    <col min="43" max="44" width="18.875" customWidth="1"/>
    <col min="45" max="46" width="20.3214285714286" customWidth="1"/>
    <col min="47" max="47" width="16.6875" customWidth="1"/>
    <col min="48" max="48" width="16.3303571428571" customWidth="1"/>
    <col min="49" max="49" width="19.0535714285714" customWidth="1"/>
    <col min="50" max="50" width="24.1964285714286" customWidth="1"/>
    <col min="51" max="51" width="13.2678571428571" customWidth="1"/>
    <col min="52" max="52" width="16.4910714285714" customWidth="1"/>
    <col min="53" max="53" width="13.8035714285714" customWidth="1"/>
    <col min="54" max="54" width="15.0625" customWidth="1"/>
    <col min="55" max="55" width="14.1607142857143" customWidth="1"/>
    <col min="56" max="56" width="15.5982142857143" customWidth="1"/>
    <col min="57" max="57" width="16.4910714285714" customWidth="1"/>
    <col min="58" max="58" width="15.0535714285714" customWidth="1"/>
    <col min="59" max="59" width="18.2857142857143" customWidth="1"/>
    <col min="60" max="60" width="18.6428571428571" customWidth="1"/>
    <col min="61" max="61" width="18.2857142857143" customWidth="1"/>
  </cols>
  <sheetData>
    <row r="1" ht="21" spans="5:63">
      <c r="E1" s="4" t="s">
        <v>10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  <c r="T1" s="12" t="s">
        <v>11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3"/>
      <c r="AJ1" s="12" t="s">
        <v>12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3"/>
      <c r="AY1" s="12" t="s">
        <v>13</v>
      </c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ht="20.4" spans="2:61">
      <c r="B2" s="2" t="s">
        <v>0</v>
      </c>
      <c r="C2" s="2" t="s">
        <v>1</v>
      </c>
      <c r="D2" s="2" t="s">
        <v>2</v>
      </c>
      <c r="E2" s="2" t="s">
        <v>3</v>
      </c>
      <c r="F2" s="14" t="s">
        <v>4</v>
      </c>
      <c r="G2" s="2" t="s">
        <v>5</v>
      </c>
      <c r="H2" s="15" t="s">
        <v>6</v>
      </c>
      <c r="I2" s="5" t="s">
        <v>7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11"/>
      <c r="T2" s="2" t="s">
        <v>19</v>
      </c>
      <c r="U2" s="2" t="s">
        <v>23</v>
      </c>
      <c r="V2" s="2" t="s">
        <v>20</v>
      </c>
      <c r="W2" s="2" t="s">
        <v>23</v>
      </c>
      <c r="X2" s="2" t="s">
        <v>21</v>
      </c>
      <c r="Y2" s="2" t="s">
        <v>23</v>
      </c>
      <c r="Z2" s="2" t="s">
        <v>22</v>
      </c>
      <c r="AA2" s="2" t="s">
        <v>23</v>
      </c>
      <c r="AB2" s="2" t="s">
        <v>24</v>
      </c>
      <c r="AC2" s="2"/>
      <c r="AD2" s="2" t="s">
        <v>23</v>
      </c>
      <c r="AE2" s="6" t="s">
        <v>15</v>
      </c>
      <c r="AF2" s="6" t="s">
        <v>16</v>
      </c>
      <c r="AG2" s="6" t="s">
        <v>17</v>
      </c>
      <c r="AH2" s="6" t="s">
        <v>18</v>
      </c>
      <c r="AI2" s="3"/>
      <c r="AJ2" s="2" t="s">
        <v>19</v>
      </c>
      <c r="AK2" s="2" t="s">
        <v>23</v>
      </c>
      <c r="AL2" s="2" t="s">
        <v>20</v>
      </c>
      <c r="AM2" s="2" t="s">
        <v>23</v>
      </c>
      <c r="AN2" s="2" t="s">
        <v>21</v>
      </c>
      <c r="AO2" s="2" t="s">
        <v>23</v>
      </c>
      <c r="AP2" s="2" t="s">
        <v>22</v>
      </c>
      <c r="AQ2" s="2" t="s">
        <v>23</v>
      </c>
      <c r="AR2" s="2" t="s">
        <v>24</v>
      </c>
      <c r="AS2" s="2" t="s">
        <v>23</v>
      </c>
      <c r="AT2" s="6" t="s">
        <v>15</v>
      </c>
      <c r="AU2" s="6" t="s">
        <v>16</v>
      </c>
      <c r="AV2" s="6" t="s">
        <v>17</v>
      </c>
      <c r="AW2" s="6" t="s">
        <v>18</v>
      </c>
      <c r="AX2" s="1" t="s">
        <v>25</v>
      </c>
      <c r="AY2" s="2" t="s">
        <v>19</v>
      </c>
      <c r="AZ2" s="2" t="s">
        <v>23</v>
      </c>
      <c r="BA2" s="2" t="s">
        <v>20</v>
      </c>
      <c r="BB2" s="2" t="s">
        <v>23</v>
      </c>
      <c r="BC2" s="2" t="s">
        <v>22</v>
      </c>
      <c r="BD2" s="2" t="s">
        <v>23</v>
      </c>
      <c r="BE2" s="2" t="s">
        <v>24</v>
      </c>
      <c r="BF2" s="2" t="s">
        <v>23</v>
      </c>
      <c r="BG2" s="6" t="s">
        <v>15</v>
      </c>
      <c r="BH2" s="6" t="s">
        <v>16</v>
      </c>
      <c r="BI2" s="6" t="s">
        <v>18</v>
      </c>
    </row>
    <row r="3" ht="20.4" spans="2:61">
      <c r="B3" s="2">
        <v>384</v>
      </c>
      <c r="C3" s="2">
        <v>83584</v>
      </c>
      <c r="D3" s="2">
        <v>384</v>
      </c>
      <c r="E3" s="2">
        <v>908</v>
      </c>
      <c r="F3" s="14">
        <v>12.7</v>
      </c>
      <c r="G3" s="2">
        <v>1913</v>
      </c>
      <c r="H3" s="15">
        <f t="shared" ref="H3:H30" si="0">G3/(1.55*8*8*2*36)*100</f>
        <v>26.7837141577061</v>
      </c>
      <c r="I3" s="21">
        <f t="shared" ref="I3:I30" si="1">H3-F3</f>
        <v>14.0837141577061</v>
      </c>
      <c r="J3" s="7">
        <f t="shared" ref="J3:J30" si="2">G3/E3</f>
        <v>2.1068281938326</v>
      </c>
      <c r="K3" s="7">
        <f>G3/O3</f>
        <v>0.714213711559211</v>
      </c>
      <c r="L3" s="7">
        <f>G3/P3</f>
        <v>0.650251283201056</v>
      </c>
      <c r="M3" s="7">
        <f>G3/Q3</f>
        <v>0.661360113174515</v>
      </c>
      <c r="N3" s="7">
        <f>G3/R3</f>
        <v>1.45748827457159</v>
      </c>
      <c r="O3" s="8">
        <f>T3*8.6</f>
        <v>2678.47</v>
      </c>
      <c r="P3" s="8">
        <f>V3*8.6</f>
        <v>2941.9396</v>
      </c>
      <c r="Q3" s="8">
        <f>X3*8.6</f>
        <v>2892.524</v>
      </c>
      <c r="R3" s="8">
        <f>Z3*8.6</f>
        <v>1312.532</v>
      </c>
      <c r="S3" s="11"/>
      <c r="T3" s="8">
        <v>311.45</v>
      </c>
      <c r="U3" s="8">
        <f>T3/748.8*100</f>
        <v>41.5932158119658</v>
      </c>
      <c r="V3" s="8">
        <v>342.086</v>
      </c>
      <c r="W3" s="8">
        <f>V3/748.8*100</f>
        <v>45.684561965812</v>
      </c>
      <c r="X3" s="8">
        <v>336.34</v>
      </c>
      <c r="Y3" s="8">
        <f>X3/748.8*100</f>
        <v>44.9172008547009</v>
      </c>
      <c r="Z3" s="8">
        <v>152.62</v>
      </c>
      <c r="AA3" s="8">
        <f>Z3/748.8*100</f>
        <v>20.3819444444444</v>
      </c>
      <c r="AB3" s="8">
        <f>G3/9.5</f>
        <v>201.368421052632</v>
      </c>
      <c r="AC3" s="8">
        <f>G3/8.6</f>
        <v>222.441860465116</v>
      </c>
      <c r="AD3" s="8">
        <f>AB3/748.8*100</f>
        <v>26.8921502474134</v>
      </c>
      <c r="AE3" s="7">
        <f>AB3/T3</f>
        <v>0.646551359937812</v>
      </c>
      <c r="AF3" s="7">
        <f>AB3/V3</f>
        <v>0.588648530055692</v>
      </c>
      <c r="AG3" s="7">
        <f>AB3/X3</f>
        <v>0.598704944557982</v>
      </c>
      <c r="AH3" s="7">
        <f>AB3/Z3</f>
        <v>1.31941043803323</v>
      </c>
      <c r="AI3" s="3"/>
      <c r="AJ3" s="19">
        <v>819.58</v>
      </c>
      <c r="AK3" s="20">
        <f>AJ3/1728*100</f>
        <v>47.4293981481482</v>
      </c>
      <c r="AL3" s="19">
        <v>552.993</v>
      </c>
      <c r="AM3" s="20">
        <f>AL3/1728*100</f>
        <v>32.0019097222222</v>
      </c>
      <c r="AN3" s="19">
        <v>574.383</v>
      </c>
      <c r="AO3" s="20">
        <f>AN3/1728*100</f>
        <v>33.2397569444445</v>
      </c>
      <c r="AP3" s="19">
        <v>433.84</v>
      </c>
      <c r="AQ3" s="20">
        <f>AP3/1728*100</f>
        <v>25.1064814814815</v>
      </c>
      <c r="AR3" s="19">
        <f>G3/3.7</f>
        <v>517.027027027027</v>
      </c>
      <c r="AS3" s="8">
        <f>AR3/1728*100</f>
        <v>29.9205455455455</v>
      </c>
      <c r="AT3" s="7">
        <f>AR3/AJ3</f>
        <v>0.630843879825065</v>
      </c>
      <c r="AU3" s="7">
        <f>AR3/AL3</f>
        <v>0.934961250914617</v>
      </c>
      <c r="AV3" s="7">
        <f>AR3/AN3</f>
        <v>0.900143331238959</v>
      </c>
      <c r="AW3" s="7">
        <f>AR3/AP3</f>
        <v>1.19174586720226</v>
      </c>
      <c r="AX3" s="1"/>
      <c r="AY3" s="22">
        <v>527.78</v>
      </c>
      <c r="BA3" s="22">
        <v>783.891</v>
      </c>
      <c r="BC3" s="22">
        <v>690.18</v>
      </c>
      <c r="BE3">
        <f>G3/3</f>
        <v>637.666666666667</v>
      </c>
      <c r="BG3">
        <f>BE3/AY3</f>
        <v>1.20820543913499</v>
      </c>
      <c r="BH3">
        <f>BE3/BA3</f>
        <v>0.813463436455664</v>
      </c>
      <c r="BI3">
        <f>BE3/BC3</f>
        <v>0.923913568441083</v>
      </c>
    </row>
    <row r="4" ht="20.4" spans="2:61">
      <c r="B4" s="2">
        <v>384</v>
      </c>
      <c r="C4" s="2">
        <v>83200</v>
      </c>
      <c r="D4" s="2">
        <v>384</v>
      </c>
      <c r="E4" s="2">
        <v>910</v>
      </c>
      <c r="F4" s="14">
        <v>12.7</v>
      </c>
      <c r="G4" s="2">
        <v>1918</v>
      </c>
      <c r="H4" s="15">
        <f t="shared" si="0"/>
        <v>26.8537186379928</v>
      </c>
      <c r="I4" s="21">
        <f t="shared" si="1"/>
        <v>14.1537186379928</v>
      </c>
      <c r="J4" s="7">
        <f t="shared" si="2"/>
        <v>2.10769230769231</v>
      </c>
      <c r="K4" s="7">
        <f t="shared" ref="K4:K26" si="3">G4/O4</f>
        <v>0.724995955444878</v>
      </c>
      <c r="L4" s="7">
        <f t="shared" ref="L4:L26" si="4">G4/P4</f>
        <v>0.654704887505111</v>
      </c>
      <c r="M4" s="7">
        <f t="shared" ref="M4:M26" si="5">G4/Q4</f>
        <v>0.661874529432401</v>
      </c>
      <c r="N4" s="7">
        <f t="shared" ref="N4:N26" si="6">G4/R4</f>
        <v>2.63216400110886</v>
      </c>
      <c r="O4" s="8">
        <f t="shared" ref="O4:O26" si="7">T4*8.6</f>
        <v>2645.532</v>
      </c>
      <c r="P4" s="8">
        <f t="shared" ref="P4:P26" si="8">V4*8.6</f>
        <v>2929.5642</v>
      </c>
      <c r="Q4" s="8">
        <f t="shared" ref="Q4:Q26" si="9">X4*8.6</f>
        <v>2897.8302</v>
      </c>
      <c r="R4" s="8">
        <f t="shared" ref="R4:R26" si="10">Z4*8.6</f>
        <v>728.678</v>
      </c>
      <c r="S4" s="11"/>
      <c r="T4" s="8">
        <v>307.62</v>
      </c>
      <c r="U4" s="8">
        <f t="shared" ref="U4:U26" si="11">T4/748.8*100</f>
        <v>41.0817307692308</v>
      </c>
      <c r="V4" s="8">
        <v>340.647</v>
      </c>
      <c r="W4" s="8">
        <f t="shared" ref="W4:W26" si="12">V4/748.8*100</f>
        <v>45.4923878205128</v>
      </c>
      <c r="X4" s="8">
        <v>336.957</v>
      </c>
      <c r="Y4" s="8">
        <f t="shared" ref="Y4:Y26" si="13">X4/748.8*100</f>
        <v>44.9995993589744</v>
      </c>
      <c r="Z4" s="8">
        <v>84.73</v>
      </c>
      <c r="AA4" s="8">
        <f t="shared" ref="AA4:AA26" si="14">Z4/748.8*100</f>
        <v>11.315438034188</v>
      </c>
      <c r="AB4" s="8">
        <f t="shared" ref="AB4:AB26" si="15">G4/9.5</f>
        <v>201.894736842105</v>
      </c>
      <c r="AC4" s="8">
        <f t="shared" ref="AC4:AC26" si="16">G4/8.6</f>
        <v>223.023255813954</v>
      </c>
      <c r="AD4" s="8">
        <f t="shared" ref="AD4:AD26" si="17">AB4/748.8*100</f>
        <v>26.9624381466487</v>
      </c>
      <c r="AE4" s="7">
        <f t="shared" ref="AE4:AE26" si="18">AB4/T4</f>
        <v>0.656312128086943</v>
      </c>
      <c r="AF4" s="7">
        <f t="shared" ref="AF4:AF26" si="19">AB4/V4</f>
        <v>0.592680213951995</v>
      </c>
      <c r="AG4" s="7">
        <f t="shared" ref="AG4:AG26" si="20">AB4/X4</f>
        <v>0.599170626644068</v>
      </c>
      <c r="AH4" s="7">
        <f t="shared" ref="AH4:AH26" si="21">AB4/Z4</f>
        <v>2.38280109574065</v>
      </c>
      <c r="AI4" s="3"/>
      <c r="AJ4" s="19">
        <v>824.86</v>
      </c>
      <c r="AK4" s="20">
        <f t="shared" ref="AK4:AK26" si="22">AJ4/1728*100</f>
        <v>47.7349537037037</v>
      </c>
      <c r="AL4" s="19">
        <v>538.626</v>
      </c>
      <c r="AM4" s="20">
        <f t="shared" ref="AM4:AM26" si="23">AL4/1728*100</f>
        <v>31.1704861111111</v>
      </c>
      <c r="AN4" s="19">
        <v>574.11</v>
      </c>
      <c r="AO4" s="20">
        <f t="shared" ref="AO4:AO26" si="24">AN4/1728*100</f>
        <v>33.2239583333333</v>
      </c>
      <c r="AP4" s="19">
        <v>400.99</v>
      </c>
      <c r="AQ4" s="20">
        <f t="shared" ref="AQ4:AQ26" si="25">AP4/1728*100</f>
        <v>23.2054398148148</v>
      </c>
      <c r="AR4" s="19">
        <f t="shared" ref="AR4:AR26" si="26">G4/3.7</f>
        <v>518.378378378378</v>
      </c>
      <c r="AS4" s="8">
        <f t="shared" ref="AS4:AS26" si="27">AR4/1728*100</f>
        <v>29.9987487487487</v>
      </c>
      <c r="AT4" s="7">
        <f t="shared" ref="AT4:AT26" si="28">AR4/AJ4</f>
        <v>0.628444073392307</v>
      </c>
      <c r="AU4" s="7">
        <f t="shared" ref="AU4:AU26" si="29">AR4/AL4</f>
        <v>0.962408755571358</v>
      </c>
      <c r="AV4" s="7">
        <f t="shared" ref="AV4:AV26" si="30">AR4/AN4</f>
        <v>0.902925185728133</v>
      </c>
      <c r="AW4" s="7">
        <f t="shared" ref="AW4:AW26" si="31">AR4/AP4</f>
        <v>1.29274639860939</v>
      </c>
      <c r="AX4" s="1"/>
      <c r="AY4" s="22">
        <v>521.15</v>
      </c>
      <c r="BA4" s="22">
        <v>784.549</v>
      </c>
      <c r="BC4" s="22">
        <v>689.75</v>
      </c>
      <c r="BE4">
        <f t="shared" ref="BE4:BE26" si="32">G4/3</f>
        <v>639.333333333333</v>
      </c>
      <c r="BG4">
        <f t="shared" ref="BG4:BG26" si="33">BE4/AY4</f>
        <v>1.22677412133423</v>
      </c>
      <c r="BH4">
        <f t="shared" ref="BH4:BH26" si="34">BE4/BA4</f>
        <v>0.814905548708026</v>
      </c>
      <c r="BI4">
        <f t="shared" ref="BI4:BI26" si="35">BE4/BC4</f>
        <v>0.926905883774314</v>
      </c>
    </row>
    <row r="5" ht="20.4" spans="2:61">
      <c r="B5" s="2">
        <v>384</v>
      </c>
      <c r="C5" s="2">
        <v>81646</v>
      </c>
      <c r="D5" s="2">
        <v>384</v>
      </c>
      <c r="E5" s="2">
        <v>911</v>
      </c>
      <c r="F5" s="14">
        <v>12.7</v>
      </c>
      <c r="G5" s="2">
        <v>1911</v>
      </c>
      <c r="H5" s="15">
        <f t="shared" si="0"/>
        <v>26.7557123655914</v>
      </c>
      <c r="I5" s="21">
        <f t="shared" si="1"/>
        <v>14.0557123655914</v>
      </c>
      <c r="J5" s="7">
        <f t="shared" si="2"/>
        <v>2.09769484083425</v>
      </c>
      <c r="K5" s="7">
        <f t="shared" si="3"/>
        <v>0.708914666854623</v>
      </c>
      <c r="L5" s="7">
        <f t="shared" si="4"/>
        <v>0.650187271626399</v>
      </c>
      <c r="M5" s="7">
        <f t="shared" si="5"/>
        <v>0.660845508774963</v>
      </c>
      <c r="N5" s="7">
        <f t="shared" si="6"/>
        <v>1.39456070243242</v>
      </c>
      <c r="O5" s="8">
        <f t="shared" si="7"/>
        <v>2695.67</v>
      </c>
      <c r="P5" s="8">
        <f t="shared" si="8"/>
        <v>2939.1532</v>
      </c>
      <c r="Q5" s="8">
        <f t="shared" si="9"/>
        <v>2891.75</v>
      </c>
      <c r="R5" s="8">
        <f t="shared" si="10"/>
        <v>1370.324</v>
      </c>
      <c r="S5" s="11"/>
      <c r="T5" s="8">
        <v>313.45</v>
      </c>
      <c r="U5" s="8">
        <f t="shared" si="11"/>
        <v>41.8603098290598</v>
      </c>
      <c r="V5" s="8">
        <v>341.762</v>
      </c>
      <c r="W5" s="8">
        <f t="shared" si="12"/>
        <v>45.6412927350427</v>
      </c>
      <c r="X5" s="8">
        <v>336.25</v>
      </c>
      <c r="Y5" s="8">
        <f t="shared" si="13"/>
        <v>44.9051816239316</v>
      </c>
      <c r="Z5" s="8">
        <v>159.34</v>
      </c>
      <c r="AA5" s="8">
        <f t="shared" si="14"/>
        <v>21.2793803418803</v>
      </c>
      <c r="AB5" s="8">
        <f t="shared" si="15"/>
        <v>201.157894736842</v>
      </c>
      <c r="AC5" s="8">
        <f t="shared" si="16"/>
        <v>222.209302325581</v>
      </c>
      <c r="AD5" s="8">
        <f t="shared" si="17"/>
        <v>26.8640350877193</v>
      </c>
      <c r="AE5" s="7">
        <f t="shared" si="18"/>
        <v>0.641754329994711</v>
      </c>
      <c r="AF5" s="7">
        <f t="shared" si="19"/>
        <v>0.588590582735477</v>
      </c>
      <c r="AG5" s="7">
        <f t="shared" si="20"/>
        <v>0.598239092154177</v>
      </c>
      <c r="AH5" s="7">
        <f t="shared" si="21"/>
        <v>1.26244442535987</v>
      </c>
      <c r="AI5" s="3"/>
      <c r="AJ5" s="19">
        <v>818</v>
      </c>
      <c r="AK5" s="20">
        <f t="shared" si="22"/>
        <v>47.337962962963</v>
      </c>
      <c r="AL5" s="19">
        <v>523.719</v>
      </c>
      <c r="AM5" s="20">
        <f t="shared" si="23"/>
        <v>30.3078125</v>
      </c>
      <c r="AN5" s="19">
        <v>581.915</v>
      </c>
      <c r="AO5" s="20">
        <f t="shared" si="24"/>
        <v>33.6756365740741</v>
      </c>
      <c r="AP5" s="19">
        <v>510.59</v>
      </c>
      <c r="AQ5" s="20">
        <f t="shared" si="25"/>
        <v>29.5480324074074</v>
      </c>
      <c r="AR5" s="19">
        <f t="shared" si="26"/>
        <v>516.486486486486</v>
      </c>
      <c r="AS5" s="8">
        <f t="shared" si="27"/>
        <v>29.8892642642643</v>
      </c>
      <c r="AT5" s="7">
        <f t="shared" si="28"/>
        <v>0.631401572721866</v>
      </c>
      <c r="AU5" s="7">
        <f t="shared" si="29"/>
        <v>0.986190087597522</v>
      </c>
      <c r="AV5" s="7">
        <f t="shared" si="30"/>
        <v>0.887563452542874</v>
      </c>
      <c r="AW5" s="7">
        <f t="shared" si="31"/>
        <v>1.01154837832015</v>
      </c>
      <c r="AX5" s="1"/>
      <c r="AY5" s="22">
        <v>523.75</v>
      </c>
      <c r="BA5" s="22">
        <v>787.64</v>
      </c>
      <c r="BC5" s="22">
        <v>742.55</v>
      </c>
      <c r="BE5">
        <f t="shared" si="32"/>
        <v>637</v>
      </c>
      <c r="BG5">
        <f t="shared" si="33"/>
        <v>1.21622911694511</v>
      </c>
      <c r="BH5">
        <f t="shared" si="34"/>
        <v>0.808745111980092</v>
      </c>
      <c r="BI5">
        <f t="shared" si="35"/>
        <v>0.857854689919871</v>
      </c>
    </row>
    <row r="6" ht="20.4" spans="2:61">
      <c r="B6" s="2">
        <v>384</v>
      </c>
      <c r="C6" s="2">
        <v>79744</v>
      </c>
      <c r="D6" s="2">
        <v>384</v>
      </c>
      <c r="E6" s="2">
        <v>904</v>
      </c>
      <c r="F6" s="14">
        <v>12.6</v>
      </c>
      <c r="G6" s="2">
        <v>1893</v>
      </c>
      <c r="H6" s="15">
        <f t="shared" si="0"/>
        <v>26.5036962365591</v>
      </c>
      <c r="I6" s="21">
        <f t="shared" si="1"/>
        <v>13.9036962365591</v>
      </c>
      <c r="J6" s="7">
        <f t="shared" si="2"/>
        <v>2.09402654867257</v>
      </c>
      <c r="K6" s="7">
        <f t="shared" si="3"/>
        <v>0.713574347812648</v>
      </c>
      <c r="L6" s="7">
        <f t="shared" si="4"/>
        <v>0.645231703625071</v>
      </c>
      <c r="M6" s="7">
        <f t="shared" si="5"/>
        <v>0.654031546501643</v>
      </c>
      <c r="N6" s="7">
        <f t="shared" si="6"/>
        <v>1.59273718574361</v>
      </c>
      <c r="O6" s="8">
        <f t="shared" si="7"/>
        <v>2652.842</v>
      </c>
      <c r="P6" s="8">
        <f t="shared" si="8"/>
        <v>2933.8298</v>
      </c>
      <c r="Q6" s="8">
        <f t="shared" si="9"/>
        <v>2894.3558</v>
      </c>
      <c r="R6" s="8">
        <f t="shared" si="10"/>
        <v>1188.52</v>
      </c>
      <c r="S6" s="11"/>
      <c r="T6" s="8">
        <v>308.47</v>
      </c>
      <c r="U6" s="8">
        <f t="shared" si="11"/>
        <v>41.1952457264957</v>
      </c>
      <c r="V6" s="8">
        <v>341.143</v>
      </c>
      <c r="W6" s="8">
        <f t="shared" si="12"/>
        <v>45.5586271367521</v>
      </c>
      <c r="X6" s="8">
        <v>336.553</v>
      </c>
      <c r="Y6" s="8">
        <f t="shared" si="13"/>
        <v>44.9456463675214</v>
      </c>
      <c r="Z6" s="8">
        <v>138.2</v>
      </c>
      <c r="AA6" s="8">
        <f t="shared" si="14"/>
        <v>18.4561965811966</v>
      </c>
      <c r="AB6" s="8">
        <f t="shared" si="15"/>
        <v>199.263157894737</v>
      </c>
      <c r="AC6" s="8">
        <f t="shared" si="16"/>
        <v>220.116279069767</v>
      </c>
      <c r="AD6" s="8">
        <f t="shared" si="17"/>
        <v>26.6109986504723</v>
      </c>
      <c r="AE6" s="7">
        <f t="shared" si="18"/>
        <v>0.645972567493555</v>
      </c>
      <c r="AF6" s="7">
        <f t="shared" si="19"/>
        <v>0.584104489597432</v>
      </c>
      <c r="AG6" s="7">
        <f t="shared" si="20"/>
        <v>0.592070663148856</v>
      </c>
      <c r="AH6" s="7">
        <f t="shared" si="21"/>
        <v>1.44184629446264</v>
      </c>
      <c r="AI6" s="3"/>
      <c r="AJ6" s="19">
        <v>817.34</v>
      </c>
      <c r="AK6" s="20">
        <f t="shared" si="22"/>
        <v>47.2997685185185</v>
      </c>
      <c r="AL6" s="19">
        <v>553.211</v>
      </c>
      <c r="AM6" s="20">
        <f t="shared" si="23"/>
        <v>32.014525462963</v>
      </c>
      <c r="AN6" s="19">
        <v>579.48</v>
      </c>
      <c r="AO6" s="20">
        <f t="shared" si="24"/>
        <v>33.5347222222222</v>
      </c>
      <c r="AP6" s="19">
        <v>446.62</v>
      </c>
      <c r="AQ6" s="20">
        <f t="shared" si="25"/>
        <v>25.8460648148148</v>
      </c>
      <c r="AR6" s="19">
        <f t="shared" si="26"/>
        <v>511.621621621622</v>
      </c>
      <c r="AS6" s="8">
        <f t="shared" si="27"/>
        <v>29.6077327327327</v>
      </c>
      <c r="AT6" s="7">
        <f t="shared" si="28"/>
        <v>0.625959357943599</v>
      </c>
      <c r="AU6" s="7">
        <f t="shared" si="29"/>
        <v>0.924821852099148</v>
      </c>
      <c r="AV6" s="7">
        <f t="shared" si="30"/>
        <v>0.882897807726965</v>
      </c>
      <c r="AW6" s="7">
        <f t="shared" si="31"/>
        <v>1.14554122435543</v>
      </c>
      <c r="AX6" s="1"/>
      <c r="AY6" s="22">
        <v>525.9</v>
      </c>
      <c r="BA6" s="22">
        <v>775.818</v>
      </c>
      <c r="BC6" s="22">
        <v>681.08</v>
      </c>
      <c r="BE6">
        <f t="shared" si="32"/>
        <v>631</v>
      </c>
      <c r="BG6">
        <f t="shared" si="33"/>
        <v>1.19984787982506</v>
      </c>
      <c r="BH6">
        <f t="shared" si="34"/>
        <v>0.813335086321792</v>
      </c>
      <c r="BI6">
        <f t="shared" si="35"/>
        <v>0.926469724555118</v>
      </c>
    </row>
    <row r="7" ht="20.4" spans="2:61">
      <c r="B7" s="2">
        <v>384</v>
      </c>
      <c r="C7" s="2">
        <v>77824</v>
      </c>
      <c r="D7" s="2">
        <v>384</v>
      </c>
      <c r="E7" s="2">
        <v>903</v>
      </c>
      <c r="F7" s="14">
        <v>12.6</v>
      </c>
      <c r="G7" s="2">
        <v>1908</v>
      </c>
      <c r="H7" s="15">
        <f t="shared" si="0"/>
        <v>26.7137096774194</v>
      </c>
      <c r="I7" s="21">
        <f t="shared" si="1"/>
        <v>14.1137096774194</v>
      </c>
      <c r="J7" s="7">
        <f t="shared" si="2"/>
        <v>2.11295681063123</v>
      </c>
      <c r="K7" s="7">
        <f t="shared" si="3"/>
        <v>0.721122229462</v>
      </c>
      <c r="L7" s="7">
        <f t="shared" si="4"/>
        <v>0.656448231109412</v>
      </c>
      <c r="M7" s="7">
        <f t="shared" si="5"/>
        <v>0.658523342167486</v>
      </c>
      <c r="N7" s="7">
        <f t="shared" si="6"/>
        <v>7.17762747060107</v>
      </c>
      <c r="O7" s="8">
        <f t="shared" si="7"/>
        <v>2645.876</v>
      </c>
      <c r="P7" s="8">
        <f t="shared" si="8"/>
        <v>2906.5506</v>
      </c>
      <c r="Q7" s="8">
        <f t="shared" si="9"/>
        <v>2897.3916</v>
      </c>
      <c r="R7" s="8">
        <f t="shared" si="10"/>
        <v>265.826</v>
      </c>
      <c r="S7" s="11"/>
      <c r="T7" s="8">
        <v>307.66</v>
      </c>
      <c r="U7" s="8">
        <f t="shared" si="11"/>
        <v>41.0870726495727</v>
      </c>
      <c r="V7" s="8">
        <v>337.971</v>
      </c>
      <c r="W7" s="8">
        <f t="shared" si="12"/>
        <v>45.135016025641</v>
      </c>
      <c r="X7" s="8">
        <v>336.906</v>
      </c>
      <c r="Y7" s="8">
        <f t="shared" si="13"/>
        <v>44.9927884615385</v>
      </c>
      <c r="Z7" s="8">
        <v>30.91</v>
      </c>
      <c r="AA7" s="8">
        <f t="shared" si="14"/>
        <v>4.12793803418803</v>
      </c>
      <c r="AB7" s="8">
        <f t="shared" si="15"/>
        <v>200.842105263158</v>
      </c>
      <c r="AC7" s="8">
        <f t="shared" si="16"/>
        <v>221.860465116279</v>
      </c>
      <c r="AD7" s="8">
        <f t="shared" si="17"/>
        <v>26.8218623481781</v>
      </c>
      <c r="AE7" s="7">
        <f t="shared" si="18"/>
        <v>0.652805386670864</v>
      </c>
      <c r="AF7" s="7">
        <f t="shared" si="19"/>
        <v>0.59425839868852</v>
      </c>
      <c r="AG7" s="7">
        <f t="shared" si="20"/>
        <v>0.596136920277935</v>
      </c>
      <c r="AH7" s="7">
        <f t="shared" si="21"/>
        <v>6.49764171022834</v>
      </c>
      <c r="AI7" s="3"/>
      <c r="AJ7" s="19">
        <v>812.27</v>
      </c>
      <c r="AK7" s="20">
        <f t="shared" si="22"/>
        <v>47.0063657407407</v>
      </c>
      <c r="AL7" s="19">
        <v>546.996</v>
      </c>
      <c r="AM7" s="20">
        <f t="shared" si="23"/>
        <v>31.6548611111111</v>
      </c>
      <c r="AN7" s="19">
        <v>576.595</v>
      </c>
      <c r="AO7" s="20">
        <f t="shared" si="24"/>
        <v>33.3677662037037</v>
      </c>
      <c r="AP7" s="19">
        <v>164.86</v>
      </c>
      <c r="AQ7" s="20">
        <f t="shared" si="25"/>
        <v>9.54050925925926</v>
      </c>
      <c r="AR7" s="19">
        <f t="shared" si="26"/>
        <v>515.675675675676</v>
      </c>
      <c r="AS7" s="8">
        <f t="shared" si="27"/>
        <v>29.8423423423423</v>
      </c>
      <c r="AT7" s="7">
        <f t="shared" si="28"/>
        <v>0.634857468176438</v>
      </c>
      <c r="AU7" s="7">
        <f t="shared" si="29"/>
        <v>0.942741218721299</v>
      </c>
      <c r="AV7" s="7">
        <f t="shared" si="30"/>
        <v>0.894346422836958</v>
      </c>
      <c r="AW7" s="7">
        <f t="shared" si="31"/>
        <v>3.12796115295205</v>
      </c>
      <c r="AX7" s="1"/>
      <c r="AY7" s="22">
        <v>526.88</v>
      </c>
      <c r="BA7" s="22">
        <v>760.817</v>
      </c>
      <c r="BC7" s="22">
        <v>596.32</v>
      </c>
      <c r="BE7">
        <f t="shared" si="32"/>
        <v>636</v>
      </c>
      <c r="BG7">
        <f t="shared" si="33"/>
        <v>1.20710598238688</v>
      </c>
      <c r="BH7">
        <f t="shared" si="34"/>
        <v>0.835943466037168</v>
      </c>
      <c r="BI7">
        <f t="shared" si="35"/>
        <v>1.06654145425275</v>
      </c>
    </row>
    <row r="8" ht="20.4" spans="2:61">
      <c r="B8" s="2">
        <v>384</v>
      </c>
      <c r="C8" s="2">
        <v>75520</v>
      </c>
      <c r="D8" s="2">
        <v>384</v>
      </c>
      <c r="E8" s="2">
        <v>900</v>
      </c>
      <c r="F8" s="14">
        <v>12.6</v>
      </c>
      <c r="G8" s="2">
        <v>1897</v>
      </c>
      <c r="H8" s="15">
        <f t="shared" si="0"/>
        <v>26.5596998207885</v>
      </c>
      <c r="I8" s="21">
        <f t="shared" si="1"/>
        <v>13.9596998207885</v>
      </c>
      <c r="J8" s="7">
        <f t="shared" si="2"/>
        <v>2.10777777777778</v>
      </c>
      <c r="K8" s="7">
        <f t="shared" si="3"/>
        <v>0.70937898488129</v>
      </c>
      <c r="L8" s="7">
        <f t="shared" si="4"/>
        <v>0.646494669775839</v>
      </c>
      <c r="M8" s="7">
        <f t="shared" si="5"/>
        <v>0.655423283896613</v>
      </c>
      <c r="N8" s="7">
        <f t="shared" si="6"/>
        <v>2.52873318065846</v>
      </c>
      <c r="O8" s="8">
        <f t="shared" si="7"/>
        <v>2674.17</v>
      </c>
      <c r="P8" s="8">
        <f t="shared" si="8"/>
        <v>2934.2856</v>
      </c>
      <c r="Q8" s="8">
        <f t="shared" si="9"/>
        <v>2894.3128</v>
      </c>
      <c r="R8" s="8">
        <f t="shared" si="10"/>
        <v>750.178</v>
      </c>
      <c r="S8" s="11"/>
      <c r="T8" s="8">
        <v>310.95</v>
      </c>
      <c r="U8" s="8">
        <f t="shared" si="11"/>
        <v>41.5264423076923</v>
      </c>
      <c r="V8" s="8">
        <v>341.196</v>
      </c>
      <c r="W8" s="8">
        <f t="shared" si="12"/>
        <v>45.5657051282051</v>
      </c>
      <c r="X8" s="8">
        <v>336.548</v>
      </c>
      <c r="Y8" s="8">
        <f t="shared" si="13"/>
        <v>44.9449786324786</v>
      </c>
      <c r="Z8" s="8">
        <v>87.23</v>
      </c>
      <c r="AA8" s="8">
        <f t="shared" si="14"/>
        <v>11.6493055555556</v>
      </c>
      <c r="AB8" s="8">
        <f t="shared" si="15"/>
        <v>199.684210526316</v>
      </c>
      <c r="AC8" s="8">
        <f t="shared" si="16"/>
        <v>220.581395348837</v>
      </c>
      <c r="AD8" s="8">
        <f t="shared" si="17"/>
        <v>26.6672289698606</v>
      </c>
      <c r="AE8" s="7">
        <f t="shared" si="18"/>
        <v>0.6421746599978</v>
      </c>
      <c r="AF8" s="7">
        <f t="shared" si="19"/>
        <v>0.585247806323391</v>
      </c>
      <c r="AG8" s="7">
        <f t="shared" si="20"/>
        <v>0.593330551737986</v>
      </c>
      <c r="AH8" s="7">
        <f t="shared" si="21"/>
        <v>2.28916898459608</v>
      </c>
      <c r="AI8" s="3"/>
      <c r="AJ8" s="19">
        <v>812.01</v>
      </c>
      <c r="AK8" s="20">
        <f t="shared" si="22"/>
        <v>46.9913194444444</v>
      </c>
      <c r="AL8" s="19">
        <v>548.177</v>
      </c>
      <c r="AM8" s="20">
        <f t="shared" si="23"/>
        <v>31.7232060185185</v>
      </c>
      <c r="AN8" s="19">
        <v>578.186</v>
      </c>
      <c r="AO8" s="20">
        <f t="shared" si="24"/>
        <v>33.459837962963</v>
      </c>
      <c r="AP8" s="19">
        <v>408.84</v>
      </c>
      <c r="AQ8" s="20">
        <f t="shared" si="25"/>
        <v>23.6597222222222</v>
      </c>
      <c r="AR8" s="19">
        <f t="shared" si="26"/>
        <v>512.702702702703</v>
      </c>
      <c r="AS8" s="8">
        <f t="shared" si="27"/>
        <v>29.6702952952953</v>
      </c>
      <c r="AT8" s="7">
        <f t="shared" si="28"/>
        <v>0.631399493482473</v>
      </c>
      <c r="AU8" s="7">
        <f t="shared" si="29"/>
        <v>0.935286782741163</v>
      </c>
      <c r="AV8" s="7">
        <f t="shared" si="30"/>
        <v>0.88674354395074</v>
      </c>
      <c r="AW8" s="7">
        <f t="shared" si="31"/>
        <v>1.25404241929044</v>
      </c>
      <c r="AX8" s="1"/>
      <c r="AY8" s="22">
        <v>528.22</v>
      </c>
      <c r="BA8" s="22">
        <v>759.176</v>
      </c>
      <c r="BC8" s="22">
        <v>688.22</v>
      </c>
      <c r="BE8">
        <f t="shared" si="32"/>
        <v>632.333333333333</v>
      </c>
      <c r="BG8">
        <f t="shared" si="33"/>
        <v>1.19710221751038</v>
      </c>
      <c r="BH8">
        <f t="shared" si="34"/>
        <v>0.832920605147335</v>
      </c>
      <c r="BI8">
        <f t="shared" si="35"/>
        <v>0.918795346449294</v>
      </c>
    </row>
    <row r="9" ht="20.4" spans="2:61">
      <c r="B9" s="2">
        <v>384</v>
      </c>
      <c r="C9" s="2">
        <v>73216</v>
      </c>
      <c r="D9" s="2">
        <v>384</v>
      </c>
      <c r="E9" s="2">
        <v>898</v>
      </c>
      <c r="F9" s="14">
        <v>12.5</v>
      </c>
      <c r="G9" s="2">
        <v>1880</v>
      </c>
      <c r="H9" s="15">
        <f t="shared" si="0"/>
        <v>26.3216845878136</v>
      </c>
      <c r="I9" s="21">
        <f t="shared" si="1"/>
        <v>13.8216845878136</v>
      </c>
      <c r="J9" s="7">
        <f t="shared" si="2"/>
        <v>2.09354120267261</v>
      </c>
      <c r="K9" s="7">
        <f t="shared" si="3"/>
        <v>0.70245710527889</v>
      </c>
      <c r="L9" s="7">
        <f t="shared" si="4"/>
        <v>0.641635728789315</v>
      </c>
      <c r="M9" s="7">
        <f t="shared" si="5"/>
        <v>0.648876811496661</v>
      </c>
      <c r="N9" s="7">
        <f t="shared" si="6"/>
        <v>2.54843379765436</v>
      </c>
      <c r="O9" s="8">
        <f t="shared" si="7"/>
        <v>2676.32</v>
      </c>
      <c r="P9" s="8">
        <f t="shared" si="8"/>
        <v>2930.0114</v>
      </c>
      <c r="Q9" s="8">
        <f t="shared" si="9"/>
        <v>2897.3142</v>
      </c>
      <c r="R9" s="8">
        <f t="shared" si="10"/>
        <v>737.708</v>
      </c>
      <c r="S9" s="11"/>
      <c r="T9" s="8">
        <v>311.2</v>
      </c>
      <c r="U9" s="8">
        <f t="shared" si="11"/>
        <v>41.5598290598291</v>
      </c>
      <c r="V9" s="8">
        <v>340.699</v>
      </c>
      <c r="W9" s="8">
        <f t="shared" si="12"/>
        <v>45.4993322649573</v>
      </c>
      <c r="X9" s="8">
        <v>336.897</v>
      </c>
      <c r="Y9" s="8">
        <f t="shared" si="13"/>
        <v>44.9915865384615</v>
      </c>
      <c r="Z9" s="8">
        <v>85.78</v>
      </c>
      <c r="AA9" s="8">
        <f t="shared" si="14"/>
        <v>11.4556623931624</v>
      </c>
      <c r="AB9" s="8">
        <f t="shared" si="15"/>
        <v>197.894736842105</v>
      </c>
      <c r="AC9" s="8">
        <f t="shared" si="16"/>
        <v>218.604651162791</v>
      </c>
      <c r="AD9" s="8">
        <f t="shared" si="17"/>
        <v>26.4282501124606</v>
      </c>
      <c r="AE9" s="7">
        <f t="shared" si="18"/>
        <v>0.635908537410364</v>
      </c>
      <c r="AF9" s="7">
        <f t="shared" si="19"/>
        <v>0.580849186061906</v>
      </c>
      <c r="AG9" s="7">
        <f t="shared" si="20"/>
        <v>0.587404271460136</v>
      </c>
      <c r="AH9" s="7">
        <f t="shared" si="21"/>
        <v>2.30700322735026</v>
      </c>
      <c r="AI9" s="3"/>
      <c r="AJ9" s="19">
        <v>813.41</v>
      </c>
      <c r="AK9" s="20">
        <f t="shared" si="22"/>
        <v>47.072337962963</v>
      </c>
      <c r="AL9" s="19">
        <v>534.492</v>
      </c>
      <c r="AM9" s="20">
        <f t="shared" si="23"/>
        <v>30.93125</v>
      </c>
      <c r="AN9" s="19">
        <v>583.056</v>
      </c>
      <c r="AO9" s="20">
        <f t="shared" si="24"/>
        <v>33.7416666666667</v>
      </c>
      <c r="AP9" s="19">
        <v>207.22</v>
      </c>
      <c r="AQ9" s="20">
        <f t="shared" si="25"/>
        <v>11.9918981481481</v>
      </c>
      <c r="AR9" s="19">
        <f t="shared" si="26"/>
        <v>508.108108108108</v>
      </c>
      <c r="AS9" s="8">
        <f t="shared" si="27"/>
        <v>29.4044044044044</v>
      </c>
      <c r="AT9" s="7">
        <f t="shared" si="28"/>
        <v>0.624664201458192</v>
      </c>
      <c r="AU9" s="7">
        <f t="shared" si="29"/>
        <v>0.950637442858093</v>
      </c>
      <c r="AV9" s="7">
        <f t="shared" si="30"/>
        <v>0.871456786497537</v>
      </c>
      <c r="AW9" s="7">
        <f t="shared" si="31"/>
        <v>2.45202252730484</v>
      </c>
      <c r="AX9" s="1"/>
      <c r="AY9" s="22">
        <v>523.11</v>
      </c>
      <c r="BA9" s="22">
        <v>751.52</v>
      </c>
      <c r="BC9" s="22">
        <v>662.5</v>
      </c>
      <c r="BE9">
        <f t="shared" si="32"/>
        <v>626.666666666667</v>
      </c>
      <c r="BG9">
        <f t="shared" si="33"/>
        <v>1.19796346211441</v>
      </c>
      <c r="BH9">
        <f t="shared" si="34"/>
        <v>0.833865587963949</v>
      </c>
      <c r="BI9">
        <f t="shared" si="35"/>
        <v>0.945911949685534</v>
      </c>
    </row>
    <row r="10" ht="20.4" spans="2:61">
      <c r="B10" s="2">
        <v>384</v>
      </c>
      <c r="C10" s="2">
        <v>66304</v>
      </c>
      <c r="D10" s="2">
        <v>384</v>
      </c>
      <c r="E10" s="2">
        <v>892</v>
      </c>
      <c r="F10" s="14">
        <v>12.49</v>
      </c>
      <c r="G10" s="2">
        <v>1841</v>
      </c>
      <c r="H10" s="15">
        <f t="shared" si="0"/>
        <v>25.7756496415771</v>
      </c>
      <c r="I10" s="21">
        <f t="shared" si="1"/>
        <v>13.2856496415771</v>
      </c>
      <c r="J10" s="7">
        <f t="shared" si="2"/>
        <v>2.06390134529148</v>
      </c>
      <c r="K10" s="7">
        <f t="shared" si="3"/>
        <v>0.690525361897553</v>
      </c>
      <c r="L10" s="7">
        <f t="shared" si="4"/>
        <v>0.62918763503098</v>
      </c>
      <c r="M10" s="7">
        <f t="shared" si="5"/>
        <v>0.635842610268958</v>
      </c>
      <c r="N10" s="7">
        <f t="shared" si="6"/>
        <v>2.48053032956965</v>
      </c>
      <c r="O10" s="8">
        <f t="shared" si="7"/>
        <v>2666.086</v>
      </c>
      <c r="P10" s="8">
        <f t="shared" si="8"/>
        <v>2925.9952</v>
      </c>
      <c r="Q10" s="8">
        <f t="shared" si="9"/>
        <v>2895.3706</v>
      </c>
      <c r="R10" s="8">
        <f t="shared" si="10"/>
        <v>742.18</v>
      </c>
      <c r="S10" s="11"/>
      <c r="T10" s="8">
        <v>310.01</v>
      </c>
      <c r="U10" s="8">
        <f t="shared" si="11"/>
        <v>41.4009081196581</v>
      </c>
      <c r="V10" s="8">
        <v>340.232</v>
      </c>
      <c r="W10" s="8">
        <f t="shared" si="12"/>
        <v>45.4369658119658</v>
      </c>
      <c r="X10" s="8">
        <v>336.671</v>
      </c>
      <c r="Y10" s="8">
        <f t="shared" si="13"/>
        <v>44.9614049145299</v>
      </c>
      <c r="Z10" s="8">
        <v>86.3</v>
      </c>
      <c r="AA10" s="8">
        <f t="shared" si="14"/>
        <v>11.5251068376068</v>
      </c>
      <c r="AB10" s="8">
        <f t="shared" si="15"/>
        <v>193.789473684211</v>
      </c>
      <c r="AC10" s="8">
        <f t="shared" si="16"/>
        <v>214.06976744186</v>
      </c>
      <c r="AD10" s="8">
        <f t="shared" si="17"/>
        <v>25.8800044984256</v>
      </c>
      <c r="AE10" s="7">
        <f t="shared" si="18"/>
        <v>0.625107169717785</v>
      </c>
      <c r="AF10" s="7">
        <f t="shared" si="19"/>
        <v>0.569580385396466</v>
      </c>
      <c r="AG10" s="7">
        <f t="shared" si="20"/>
        <v>0.57560488929611</v>
      </c>
      <c r="AH10" s="7">
        <f t="shared" si="21"/>
        <v>2.24553271939989</v>
      </c>
      <c r="AI10" s="3"/>
      <c r="AJ10" s="19">
        <v>811.7</v>
      </c>
      <c r="AK10" s="20">
        <f t="shared" si="22"/>
        <v>46.9733796296296</v>
      </c>
      <c r="AL10" s="19">
        <v>532.086</v>
      </c>
      <c r="AM10" s="20">
        <f t="shared" si="23"/>
        <v>30.7920138888889</v>
      </c>
      <c r="AN10" s="19">
        <v>583.448</v>
      </c>
      <c r="AO10" s="20">
        <f t="shared" si="24"/>
        <v>33.7643518518518</v>
      </c>
      <c r="AP10" s="19">
        <v>409.54</v>
      </c>
      <c r="AQ10" s="20">
        <f t="shared" si="25"/>
        <v>23.7002314814815</v>
      </c>
      <c r="AR10" s="19">
        <f t="shared" si="26"/>
        <v>497.567567567568</v>
      </c>
      <c r="AS10" s="8">
        <f t="shared" si="27"/>
        <v>28.7944194194194</v>
      </c>
      <c r="AT10" s="7">
        <f t="shared" si="28"/>
        <v>0.612994416123651</v>
      </c>
      <c r="AU10" s="7">
        <f t="shared" si="29"/>
        <v>0.935126215625984</v>
      </c>
      <c r="AV10" s="7">
        <f t="shared" si="30"/>
        <v>0.85280533580982</v>
      </c>
      <c r="AW10" s="7">
        <f t="shared" si="31"/>
        <v>1.2149425393553</v>
      </c>
      <c r="AX10" s="1"/>
      <c r="AY10" s="22">
        <v>528.92</v>
      </c>
      <c r="BA10" s="22">
        <v>750.878</v>
      </c>
      <c r="BC10" s="22">
        <v>687.8</v>
      </c>
      <c r="BE10">
        <f t="shared" si="32"/>
        <v>613.666666666667</v>
      </c>
      <c r="BG10">
        <f t="shared" si="33"/>
        <v>1.16022586906653</v>
      </c>
      <c r="BH10">
        <f t="shared" si="34"/>
        <v>0.817265476770749</v>
      </c>
      <c r="BI10">
        <f t="shared" si="35"/>
        <v>0.892216729669478</v>
      </c>
    </row>
    <row r="11" ht="20.4" spans="2:61">
      <c r="B11" s="2">
        <v>384</v>
      </c>
      <c r="C11" s="2">
        <v>63232</v>
      </c>
      <c r="D11" s="2">
        <v>384</v>
      </c>
      <c r="E11" s="2">
        <v>891</v>
      </c>
      <c r="F11" s="14">
        <v>12.47</v>
      </c>
      <c r="G11" s="2">
        <v>1833</v>
      </c>
      <c r="H11" s="15">
        <f t="shared" si="0"/>
        <v>25.6636424731183</v>
      </c>
      <c r="I11" s="21">
        <f t="shared" si="1"/>
        <v>13.1936424731183</v>
      </c>
      <c r="J11" s="7">
        <f t="shared" si="2"/>
        <v>2.05723905723906</v>
      </c>
      <c r="K11" s="7">
        <f t="shared" si="3"/>
        <v>0.687015004137832</v>
      </c>
      <c r="L11" s="7">
        <f t="shared" si="4"/>
        <v>0.628368740352072</v>
      </c>
      <c r="M11" s="7">
        <f t="shared" si="5"/>
        <v>0.632724380703322</v>
      </c>
      <c r="N11" s="7">
        <f t="shared" si="6"/>
        <v>2.5007571850724</v>
      </c>
      <c r="O11" s="8">
        <f t="shared" si="7"/>
        <v>2668.064</v>
      </c>
      <c r="P11" s="8">
        <f t="shared" si="8"/>
        <v>2917.077</v>
      </c>
      <c r="Q11" s="8">
        <f t="shared" si="9"/>
        <v>2896.996</v>
      </c>
      <c r="R11" s="8">
        <f t="shared" si="10"/>
        <v>732.978</v>
      </c>
      <c r="S11" s="11"/>
      <c r="T11" s="8">
        <v>310.24</v>
      </c>
      <c r="U11" s="8">
        <f t="shared" si="11"/>
        <v>41.4316239316239</v>
      </c>
      <c r="V11" s="8">
        <v>339.195</v>
      </c>
      <c r="W11" s="8">
        <f t="shared" si="12"/>
        <v>45.2984775641026</v>
      </c>
      <c r="X11" s="8">
        <v>336.86</v>
      </c>
      <c r="Y11" s="8">
        <f t="shared" si="13"/>
        <v>44.9866452991453</v>
      </c>
      <c r="Z11" s="8">
        <v>85.23</v>
      </c>
      <c r="AA11" s="8">
        <f t="shared" si="14"/>
        <v>11.3822115384615</v>
      </c>
      <c r="AB11" s="8">
        <f t="shared" si="15"/>
        <v>192.947368421053</v>
      </c>
      <c r="AC11" s="8">
        <f t="shared" si="16"/>
        <v>213.139534883721</v>
      </c>
      <c r="AD11" s="8">
        <f t="shared" si="17"/>
        <v>25.7675438596491</v>
      </c>
      <c r="AE11" s="7">
        <f t="shared" si="18"/>
        <v>0.621929372166879</v>
      </c>
      <c r="AF11" s="7">
        <f t="shared" si="19"/>
        <v>0.568839070213454</v>
      </c>
      <c r="AG11" s="7">
        <f t="shared" si="20"/>
        <v>0.572782070952481</v>
      </c>
      <c r="AH11" s="7">
        <f t="shared" si="21"/>
        <v>2.2638433464866</v>
      </c>
      <c r="AI11" s="3"/>
      <c r="AJ11" s="19">
        <v>834.8</v>
      </c>
      <c r="AK11" s="20">
        <f t="shared" si="22"/>
        <v>48.3101851851852</v>
      </c>
      <c r="AL11" s="19">
        <v>532.736</v>
      </c>
      <c r="AM11" s="20">
        <f t="shared" si="23"/>
        <v>30.8296296296296</v>
      </c>
      <c r="AN11" s="19">
        <v>583.328</v>
      </c>
      <c r="AO11" s="20">
        <f t="shared" si="24"/>
        <v>33.7574074074074</v>
      </c>
      <c r="AP11" s="19">
        <v>409.87</v>
      </c>
      <c r="AQ11" s="20">
        <f t="shared" si="25"/>
        <v>23.7193287037037</v>
      </c>
      <c r="AR11" s="19">
        <f t="shared" si="26"/>
        <v>495.405405405405</v>
      </c>
      <c r="AS11" s="8">
        <f t="shared" si="27"/>
        <v>28.6692942942943</v>
      </c>
      <c r="AT11" s="7">
        <f t="shared" si="28"/>
        <v>0.593442028516298</v>
      </c>
      <c r="AU11" s="7">
        <f t="shared" si="29"/>
        <v>0.92992665298648</v>
      </c>
      <c r="AV11" s="7">
        <f t="shared" si="30"/>
        <v>0.849274174058858</v>
      </c>
      <c r="AW11" s="7">
        <f t="shared" si="31"/>
        <v>1.2086891097309</v>
      </c>
      <c r="AX11" s="1"/>
      <c r="AY11" s="22">
        <v>531.72</v>
      </c>
      <c r="BA11" s="22">
        <v>754.389</v>
      </c>
      <c r="BC11" s="22">
        <v>691.44</v>
      </c>
      <c r="BE11">
        <f t="shared" si="32"/>
        <v>611</v>
      </c>
      <c r="BG11">
        <f t="shared" si="33"/>
        <v>1.14910103061762</v>
      </c>
      <c r="BH11">
        <f t="shared" si="34"/>
        <v>0.809926974014732</v>
      </c>
      <c r="BI11">
        <f t="shared" si="35"/>
        <v>0.883663079949092</v>
      </c>
    </row>
    <row r="12" ht="20.4" spans="2:61">
      <c r="B12" s="2">
        <v>384</v>
      </c>
      <c r="C12" s="2">
        <v>60544</v>
      </c>
      <c r="D12" s="2">
        <v>384</v>
      </c>
      <c r="E12" s="2">
        <v>899</v>
      </c>
      <c r="F12" s="14">
        <v>12.59</v>
      </c>
      <c r="G12" s="2">
        <v>1742</v>
      </c>
      <c r="H12" s="15">
        <f t="shared" si="0"/>
        <v>24.3895609318996</v>
      </c>
      <c r="I12" s="21">
        <f t="shared" si="1"/>
        <v>11.7995609318996</v>
      </c>
      <c r="J12" s="7">
        <f t="shared" si="2"/>
        <v>1.9377085650723</v>
      </c>
      <c r="K12" s="7">
        <f t="shared" si="3"/>
        <v>0.64897520035526</v>
      </c>
      <c r="L12" s="7">
        <f t="shared" si="4"/>
        <v>0.598105920094972</v>
      </c>
      <c r="M12" s="7">
        <f t="shared" si="5"/>
        <v>0.601175114442414</v>
      </c>
      <c r="N12" s="7">
        <f t="shared" si="6"/>
        <v>1.39618237892807</v>
      </c>
      <c r="O12" s="8">
        <f t="shared" si="7"/>
        <v>2684.232</v>
      </c>
      <c r="P12" s="8">
        <f t="shared" si="8"/>
        <v>2912.5276</v>
      </c>
      <c r="Q12" s="8">
        <f t="shared" si="9"/>
        <v>2897.6582</v>
      </c>
      <c r="R12" s="8">
        <f t="shared" si="10"/>
        <v>1247.688</v>
      </c>
      <c r="S12" s="11"/>
      <c r="T12" s="8">
        <v>312.12</v>
      </c>
      <c r="U12" s="8">
        <f t="shared" si="11"/>
        <v>41.6826923076923</v>
      </c>
      <c r="V12" s="8">
        <v>338.666</v>
      </c>
      <c r="W12" s="8">
        <f t="shared" si="12"/>
        <v>45.2278311965812</v>
      </c>
      <c r="X12" s="8">
        <v>336.937</v>
      </c>
      <c r="Y12" s="8">
        <f t="shared" si="13"/>
        <v>44.9969284188034</v>
      </c>
      <c r="Z12" s="8">
        <v>145.08</v>
      </c>
      <c r="AA12" s="8">
        <f t="shared" si="14"/>
        <v>19.375</v>
      </c>
      <c r="AB12" s="8">
        <f t="shared" si="15"/>
        <v>183.368421052632</v>
      </c>
      <c r="AC12" s="8">
        <f t="shared" si="16"/>
        <v>202.558139534884</v>
      </c>
      <c r="AD12" s="8">
        <f t="shared" si="17"/>
        <v>24.4883040935673</v>
      </c>
      <c r="AE12" s="7">
        <f t="shared" si="18"/>
        <v>0.587493339268972</v>
      </c>
      <c r="AF12" s="7">
        <f t="shared" si="19"/>
        <v>0.541443253980711</v>
      </c>
      <c r="AG12" s="7">
        <f t="shared" si="20"/>
        <v>0.54422168254787</v>
      </c>
      <c r="AH12" s="7">
        <f t="shared" si="21"/>
        <v>1.26391246934541</v>
      </c>
      <c r="AI12" s="3"/>
      <c r="AJ12" s="19">
        <v>817.18</v>
      </c>
      <c r="AK12" s="20">
        <f t="shared" si="22"/>
        <v>47.2905092592593</v>
      </c>
      <c r="AL12" s="19">
        <v>548.763</v>
      </c>
      <c r="AM12" s="20">
        <f t="shared" si="23"/>
        <v>31.7571180555556</v>
      </c>
      <c r="AN12" s="19">
        <v>577.029</v>
      </c>
      <c r="AO12" s="20">
        <f t="shared" si="24"/>
        <v>33.3928819444444</v>
      </c>
      <c r="AP12" s="19">
        <v>455.18</v>
      </c>
      <c r="AQ12" s="20">
        <f t="shared" si="25"/>
        <v>26.3414351851852</v>
      </c>
      <c r="AR12" s="19">
        <f t="shared" si="26"/>
        <v>470.810810810811</v>
      </c>
      <c r="AS12" s="8">
        <f t="shared" si="27"/>
        <v>27.245995995996</v>
      </c>
      <c r="AT12" s="7">
        <f t="shared" si="28"/>
        <v>0.576140887944897</v>
      </c>
      <c r="AU12" s="7">
        <f t="shared" si="29"/>
        <v>0.857949261905068</v>
      </c>
      <c r="AV12" s="7">
        <f t="shared" si="30"/>
        <v>0.815922268743531</v>
      </c>
      <c r="AW12" s="7">
        <f t="shared" si="31"/>
        <v>1.03433984535966</v>
      </c>
      <c r="AX12" s="1"/>
      <c r="AY12" s="22">
        <v>531.35</v>
      </c>
      <c r="BA12" s="22">
        <v>768.165</v>
      </c>
      <c r="BC12" s="22">
        <v>687.7</v>
      </c>
      <c r="BE12">
        <f t="shared" si="32"/>
        <v>580.666666666667</v>
      </c>
      <c r="BG12">
        <f t="shared" si="33"/>
        <v>1.09281390169694</v>
      </c>
      <c r="BH12">
        <f t="shared" si="34"/>
        <v>0.755913985493568</v>
      </c>
      <c r="BI12">
        <f t="shared" si="35"/>
        <v>0.844360428481411</v>
      </c>
    </row>
    <row r="13" ht="20.4" spans="2:61">
      <c r="B13" s="2">
        <v>384</v>
      </c>
      <c r="C13" s="2">
        <v>59008</v>
      </c>
      <c r="D13" s="2">
        <v>384</v>
      </c>
      <c r="E13" s="2">
        <v>920</v>
      </c>
      <c r="F13" s="14">
        <v>12.88</v>
      </c>
      <c r="G13" s="2">
        <v>1723</v>
      </c>
      <c r="H13" s="15">
        <f t="shared" si="0"/>
        <v>24.12354390681</v>
      </c>
      <c r="I13" s="21">
        <f t="shared" si="1"/>
        <v>11.24354390681</v>
      </c>
      <c r="J13" s="7">
        <f t="shared" si="2"/>
        <v>1.87282608695652</v>
      </c>
      <c r="K13" s="7">
        <f t="shared" si="3"/>
        <v>0.651265602214681</v>
      </c>
      <c r="L13" s="7">
        <f t="shared" si="4"/>
        <v>0.592005405081502</v>
      </c>
      <c r="M13" s="7">
        <f t="shared" si="5"/>
        <v>0.594441670229982</v>
      </c>
      <c r="N13" s="7">
        <f t="shared" si="6"/>
        <v>1.26979868937319</v>
      </c>
      <c r="O13" s="8">
        <f t="shared" si="7"/>
        <v>2645.618</v>
      </c>
      <c r="P13" s="8">
        <f t="shared" si="8"/>
        <v>2910.4464</v>
      </c>
      <c r="Q13" s="8">
        <f t="shared" si="9"/>
        <v>2898.5182</v>
      </c>
      <c r="R13" s="8">
        <f t="shared" si="10"/>
        <v>1356.908</v>
      </c>
      <c r="S13" s="11"/>
      <c r="T13" s="8">
        <v>307.63</v>
      </c>
      <c r="U13" s="8">
        <f t="shared" si="11"/>
        <v>41.0830662393162</v>
      </c>
      <c r="V13" s="8">
        <v>338.424</v>
      </c>
      <c r="W13" s="8">
        <f t="shared" si="12"/>
        <v>45.1955128205128</v>
      </c>
      <c r="X13" s="8">
        <v>337.037</v>
      </c>
      <c r="Y13" s="8">
        <f t="shared" si="13"/>
        <v>45.0102831196581</v>
      </c>
      <c r="Z13" s="8">
        <v>157.78</v>
      </c>
      <c r="AA13" s="8">
        <f t="shared" si="14"/>
        <v>21.071047008547</v>
      </c>
      <c r="AB13" s="8">
        <f t="shared" si="15"/>
        <v>181.368421052632</v>
      </c>
      <c r="AC13" s="8">
        <f t="shared" si="16"/>
        <v>200.348837209302</v>
      </c>
      <c r="AD13" s="8">
        <f t="shared" si="17"/>
        <v>24.2212100764732</v>
      </c>
      <c r="AE13" s="7">
        <f t="shared" si="18"/>
        <v>0.58956675568908</v>
      </c>
      <c r="AF13" s="7">
        <f t="shared" si="19"/>
        <v>0.535920682494834</v>
      </c>
      <c r="AG13" s="7">
        <f t="shared" si="20"/>
        <v>0.538126143576615</v>
      </c>
      <c r="AH13" s="7">
        <f t="shared" si="21"/>
        <v>1.14950197143257</v>
      </c>
      <c r="AI13" s="3"/>
      <c r="AJ13" s="19">
        <v>822.25</v>
      </c>
      <c r="AK13" s="20">
        <f t="shared" si="22"/>
        <v>47.583912037037</v>
      </c>
      <c r="AL13" s="19">
        <v>550.359</v>
      </c>
      <c r="AM13" s="20">
        <f t="shared" si="23"/>
        <v>31.8494791666667</v>
      </c>
      <c r="AN13" s="19">
        <v>577.023</v>
      </c>
      <c r="AO13" s="20">
        <f t="shared" si="24"/>
        <v>33.3925347222222</v>
      </c>
      <c r="AP13" s="19">
        <v>454.61</v>
      </c>
      <c r="AQ13" s="20">
        <f t="shared" si="25"/>
        <v>26.3084490740741</v>
      </c>
      <c r="AR13" s="19">
        <f t="shared" si="26"/>
        <v>465.675675675676</v>
      </c>
      <c r="AS13" s="8">
        <f t="shared" si="27"/>
        <v>26.9488238238238</v>
      </c>
      <c r="AT13" s="7">
        <f t="shared" si="28"/>
        <v>0.566343175038827</v>
      </c>
      <c r="AU13" s="7">
        <f t="shared" si="29"/>
        <v>0.846130754063576</v>
      </c>
      <c r="AV13" s="7">
        <f t="shared" si="30"/>
        <v>0.807031393333846</v>
      </c>
      <c r="AW13" s="7">
        <f t="shared" si="31"/>
        <v>1.02434103006022</v>
      </c>
      <c r="AX13" s="1"/>
      <c r="AY13" s="22">
        <v>538.19</v>
      </c>
      <c r="BA13" s="22">
        <v>757.831</v>
      </c>
      <c r="BC13" s="22">
        <v>696.74</v>
      </c>
      <c r="BE13">
        <f t="shared" si="32"/>
        <v>574.333333333333</v>
      </c>
      <c r="BG13">
        <f t="shared" si="33"/>
        <v>1.06715719974978</v>
      </c>
      <c r="BH13">
        <f t="shared" si="34"/>
        <v>0.757864660238672</v>
      </c>
      <c r="BI13">
        <f t="shared" si="35"/>
        <v>0.824315143860455</v>
      </c>
    </row>
    <row r="14" ht="20.4" spans="2:61">
      <c r="B14" s="2">
        <v>384</v>
      </c>
      <c r="C14" s="2">
        <v>56704</v>
      </c>
      <c r="D14" s="2">
        <v>384</v>
      </c>
      <c r="E14" s="2">
        <v>918</v>
      </c>
      <c r="F14" s="14">
        <v>12.85</v>
      </c>
      <c r="G14" s="2">
        <v>1749</v>
      </c>
      <c r="H14" s="15">
        <f t="shared" si="0"/>
        <v>24.4875672043011</v>
      </c>
      <c r="I14" s="21">
        <f t="shared" si="1"/>
        <v>11.6375672043011</v>
      </c>
      <c r="J14" s="7">
        <f t="shared" si="2"/>
        <v>1.90522875816993</v>
      </c>
      <c r="K14" s="7">
        <f t="shared" si="3"/>
        <v>0.660942778756113</v>
      </c>
      <c r="L14" s="7">
        <f t="shared" si="4"/>
        <v>0.601735309676592</v>
      </c>
      <c r="M14" s="7">
        <f t="shared" si="5"/>
        <v>0.603741373902729</v>
      </c>
      <c r="N14" s="7">
        <f t="shared" si="6"/>
        <v>1.37832662164186</v>
      </c>
      <c r="O14" s="8">
        <f t="shared" si="7"/>
        <v>2646.22</v>
      </c>
      <c r="P14" s="8">
        <f t="shared" si="8"/>
        <v>2906.5936</v>
      </c>
      <c r="Q14" s="8">
        <f t="shared" si="9"/>
        <v>2896.9358</v>
      </c>
      <c r="R14" s="8">
        <f t="shared" si="10"/>
        <v>1268.93</v>
      </c>
      <c r="S14" s="11"/>
      <c r="T14" s="8">
        <v>307.7</v>
      </c>
      <c r="U14" s="8">
        <f t="shared" si="11"/>
        <v>41.0924145299145</v>
      </c>
      <c r="V14" s="8">
        <v>337.976</v>
      </c>
      <c r="W14" s="8">
        <f t="shared" si="12"/>
        <v>45.1356837606838</v>
      </c>
      <c r="X14" s="8">
        <v>336.853</v>
      </c>
      <c r="Y14" s="8">
        <f t="shared" si="13"/>
        <v>44.9857104700855</v>
      </c>
      <c r="Z14" s="8">
        <v>147.55</v>
      </c>
      <c r="AA14" s="8">
        <f t="shared" si="14"/>
        <v>19.7048611111111</v>
      </c>
      <c r="AB14" s="8">
        <f t="shared" si="15"/>
        <v>184.105263157895</v>
      </c>
      <c r="AC14" s="8">
        <f t="shared" si="16"/>
        <v>203.372093023256</v>
      </c>
      <c r="AD14" s="8">
        <f t="shared" si="17"/>
        <v>24.5867071524966</v>
      </c>
      <c r="AE14" s="7">
        <f t="shared" si="18"/>
        <v>0.598327147084481</v>
      </c>
      <c r="AF14" s="7">
        <f t="shared" si="19"/>
        <v>0.544728806654599</v>
      </c>
      <c r="AG14" s="7">
        <f t="shared" si="20"/>
        <v>0.546544822690891</v>
      </c>
      <c r="AH14" s="7">
        <f t="shared" si="21"/>
        <v>1.24774831011789</v>
      </c>
      <c r="AI14" s="3"/>
      <c r="AJ14" s="19">
        <v>831.8</v>
      </c>
      <c r="AK14" s="20">
        <f t="shared" si="22"/>
        <v>48.1365740740741</v>
      </c>
      <c r="AL14" s="19">
        <v>548.657</v>
      </c>
      <c r="AM14" s="20">
        <f t="shared" si="23"/>
        <v>31.7509837962963</v>
      </c>
      <c r="AN14" s="19">
        <v>579.612</v>
      </c>
      <c r="AO14" s="20">
        <f t="shared" si="24"/>
        <v>33.5423611111111</v>
      </c>
      <c r="AP14" s="19">
        <v>454.13</v>
      </c>
      <c r="AQ14" s="20">
        <f t="shared" si="25"/>
        <v>26.2806712962963</v>
      </c>
      <c r="AR14" s="19">
        <f t="shared" si="26"/>
        <v>472.702702702703</v>
      </c>
      <c r="AS14" s="8">
        <f t="shared" si="27"/>
        <v>27.3554804804805</v>
      </c>
      <c r="AT14" s="7">
        <f t="shared" si="28"/>
        <v>0.568288894809693</v>
      </c>
      <c r="AU14" s="7">
        <f t="shared" si="29"/>
        <v>0.861563240244274</v>
      </c>
      <c r="AV14" s="7">
        <f t="shared" si="30"/>
        <v>0.815550234816917</v>
      </c>
      <c r="AW14" s="7">
        <f t="shared" si="31"/>
        <v>1.040897326102</v>
      </c>
      <c r="AX14" s="1"/>
      <c r="AY14" s="22">
        <v>537.7</v>
      </c>
      <c r="BA14" s="22">
        <v>754.413</v>
      </c>
      <c r="BC14" s="22">
        <v>706.44</v>
      </c>
      <c r="BE14">
        <f t="shared" si="32"/>
        <v>583</v>
      </c>
      <c r="BG14">
        <f t="shared" si="33"/>
        <v>1.08424772177794</v>
      </c>
      <c r="BH14">
        <f t="shared" si="34"/>
        <v>0.772786258985463</v>
      </c>
      <c r="BI14">
        <f t="shared" si="35"/>
        <v>0.825264707547704</v>
      </c>
    </row>
    <row r="15" ht="20.4" spans="2:61">
      <c r="B15" s="2">
        <v>384</v>
      </c>
      <c r="C15" s="2">
        <v>50944</v>
      </c>
      <c r="D15" s="2">
        <v>384</v>
      </c>
      <c r="E15" s="2">
        <v>914</v>
      </c>
      <c r="F15" s="14">
        <v>12.8</v>
      </c>
      <c r="G15" s="2">
        <v>1741</v>
      </c>
      <c r="H15" s="15">
        <f t="shared" si="0"/>
        <v>24.3755600358423</v>
      </c>
      <c r="I15" s="21">
        <f t="shared" si="1"/>
        <v>11.5755600358423</v>
      </c>
      <c r="J15" s="7">
        <f t="shared" si="2"/>
        <v>1.90481400437637</v>
      </c>
      <c r="K15" s="7">
        <f t="shared" si="3"/>
        <v>0.658647385688171</v>
      </c>
      <c r="L15" s="7">
        <f t="shared" si="4"/>
        <v>0.599774421429551</v>
      </c>
      <c r="M15" s="7">
        <f t="shared" si="5"/>
        <v>0.601088685197737</v>
      </c>
      <c r="N15" s="7">
        <f t="shared" si="6"/>
        <v>2.37747340534488</v>
      </c>
      <c r="O15" s="8">
        <f t="shared" si="7"/>
        <v>2643.296</v>
      </c>
      <c r="P15" s="8">
        <f t="shared" si="8"/>
        <v>2902.758</v>
      </c>
      <c r="Q15" s="8">
        <f t="shared" si="9"/>
        <v>2896.4112</v>
      </c>
      <c r="R15" s="8">
        <f t="shared" si="10"/>
        <v>732.29</v>
      </c>
      <c r="S15" s="11"/>
      <c r="T15" s="8">
        <v>307.36</v>
      </c>
      <c r="U15" s="8">
        <f t="shared" si="11"/>
        <v>41.0470085470086</v>
      </c>
      <c r="V15" s="8">
        <v>337.53</v>
      </c>
      <c r="W15" s="8">
        <f t="shared" si="12"/>
        <v>45.0761217948718</v>
      </c>
      <c r="X15" s="8">
        <v>336.792</v>
      </c>
      <c r="Y15" s="8">
        <f t="shared" si="13"/>
        <v>44.9775641025641</v>
      </c>
      <c r="Z15" s="8">
        <v>85.15</v>
      </c>
      <c r="AA15" s="8">
        <f t="shared" si="14"/>
        <v>11.3715277777778</v>
      </c>
      <c r="AB15" s="8">
        <f t="shared" si="15"/>
        <v>183.263157894737</v>
      </c>
      <c r="AC15" s="8">
        <f t="shared" si="16"/>
        <v>202.441860465116</v>
      </c>
      <c r="AD15" s="8">
        <f t="shared" si="17"/>
        <v>24.4742465137202</v>
      </c>
      <c r="AE15" s="7">
        <f t="shared" si="18"/>
        <v>0.596249212307187</v>
      </c>
      <c r="AF15" s="7">
        <f t="shared" si="19"/>
        <v>0.542953686767804</v>
      </c>
      <c r="AG15" s="7">
        <f t="shared" si="20"/>
        <v>0.544143441336899</v>
      </c>
      <c r="AH15" s="7">
        <f t="shared" si="21"/>
        <v>2.15223908273326</v>
      </c>
      <c r="AI15" s="3"/>
      <c r="AJ15" s="19">
        <v>829.4</v>
      </c>
      <c r="AK15" s="20">
        <f t="shared" si="22"/>
        <v>47.9976851851852</v>
      </c>
      <c r="AL15" s="19">
        <v>549.725</v>
      </c>
      <c r="AM15" s="20">
        <f t="shared" si="23"/>
        <v>31.8127893518519</v>
      </c>
      <c r="AN15" s="19">
        <v>623.894</v>
      </c>
      <c r="AO15" s="20">
        <f t="shared" si="24"/>
        <v>36.1049768518519</v>
      </c>
      <c r="AP15" s="19">
        <v>408.28</v>
      </c>
      <c r="AQ15" s="20">
        <f t="shared" si="25"/>
        <v>23.6273148148148</v>
      </c>
      <c r="AR15" s="19">
        <f t="shared" si="26"/>
        <v>470.540540540541</v>
      </c>
      <c r="AS15" s="8">
        <f t="shared" si="27"/>
        <v>27.2303553553554</v>
      </c>
      <c r="AT15" s="7">
        <f t="shared" si="28"/>
        <v>0.567326429395395</v>
      </c>
      <c r="AU15" s="7">
        <f t="shared" si="29"/>
        <v>0.855956233645078</v>
      </c>
      <c r="AV15" s="7">
        <f t="shared" si="30"/>
        <v>0.754199496293506</v>
      </c>
      <c r="AW15" s="7">
        <f t="shared" si="31"/>
        <v>1.15249471083702</v>
      </c>
      <c r="AX15" s="1"/>
      <c r="AY15" s="22">
        <v>537.53</v>
      </c>
      <c r="BA15" s="22">
        <v>754.18</v>
      </c>
      <c r="BC15" s="22">
        <v>701.79</v>
      </c>
      <c r="BE15">
        <f t="shared" si="32"/>
        <v>580.333333333333</v>
      </c>
      <c r="BG15">
        <f t="shared" si="33"/>
        <v>1.07962966408076</v>
      </c>
      <c r="BH15">
        <f t="shared" si="34"/>
        <v>0.769489158202728</v>
      </c>
      <c r="BI15">
        <f t="shared" si="35"/>
        <v>0.826933033148568</v>
      </c>
    </row>
    <row r="16" ht="20.4" spans="2:61">
      <c r="B16" s="2">
        <v>384</v>
      </c>
      <c r="C16" s="2">
        <v>47872</v>
      </c>
      <c r="D16" s="2">
        <v>384</v>
      </c>
      <c r="E16" s="2">
        <v>886</v>
      </c>
      <c r="F16" s="14">
        <v>12.4</v>
      </c>
      <c r="G16" s="2">
        <v>1642</v>
      </c>
      <c r="H16" s="15">
        <f t="shared" si="0"/>
        <v>22.9894713261649</v>
      </c>
      <c r="I16" s="21">
        <f t="shared" si="1"/>
        <v>10.5894713261649</v>
      </c>
      <c r="J16" s="7">
        <f t="shared" si="2"/>
        <v>1.85327313769752</v>
      </c>
      <c r="K16" s="7">
        <f t="shared" si="3"/>
        <v>0.615467192824897</v>
      </c>
      <c r="L16" s="7">
        <f t="shared" si="4"/>
        <v>0.567230140606057</v>
      </c>
      <c r="M16" s="7">
        <f t="shared" si="5"/>
        <v>0.567061673586177</v>
      </c>
      <c r="N16" s="7">
        <f t="shared" si="6"/>
        <v>2.33382511377753</v>
      </c>
      <c r="O16" s="8">
        <f t="shared" si="7"/>
        <v>2667.892</v>
      </c>
      <c r="P16" s="8">
        <f t="shared" si="8"/>
        <v>2894.7686</v>
      </c>
      <c r="Q16" s="8">
        <f t="shared" si="9"/>
        <v>2895.6286</v>
      </c>
      <c r="R16" s="8">
        <f t="shared" si="10"/>
        <v>703.566</v>
      </c>
      <c r="S16" s="11"/>
      <c r="T16" s="8">
        <v>310.22</v>
      </c>
      <c r="U16" s="8">
        <f t="shared" si="11"/>
        <v>41.428952991453</v>
      </c>
      <c r="V16" s="8">
        <v>336.601</v>
      </c>
      <c r="W16" s="8">
        <f t="shared" si="12"/>
        <v>44.9520566239316</v>
      </c>
      <c r="X16" s="8">
        <v>336.701</v>
      </c>
      <c r="Y16" s="8">
        <f t="shared" si="13"/>
        <v>44.9654113247863</v>
      </c>
      <c r="Z16" s="8">
        <v>81.81</v>
      </c>
      <c r="AA16" s="8">
        <f t="shared" si="14"/>
        <v>10.9254807692308</v>
      </c>
      <c r="AB16" s="8">
        <f t="shared" si="15"/>
        <v>172.842105263158</v>
      </c>
      <c r="AC16" s="8">
        <f t="shared" si="16"/>
        <v>190.93023255814</v>
      </c>
      <c r="AD16" s="8">
        <f t="shared" si="17"/>
        <v>23.0825461088619</v>
      </c>
      <c r="AE16" s="7">
        <f t="shared" si="18"/>
        <v>0.557159774557275</v>
      </c>
      <c r="AF16" s="7">
        <f t="shared" si="19"/>
        <v>0.513492548338115</v>
      </c>
      <c r="AG16" s="7">
        <f t="shared" si="20"/>
        <v>0.513340041351697</v>
      </c>
      <c r="AH16" s="7">
        <f t="shared" si="21"/>
        <v>2.11272589247229</v>
      </c>
      <c r="AI16" s="3"/>
      <c r="AJ16" s="19">
        <v>820.55</v>
      </c>
      <c r="AK16" s="20">
        <f t="shared" si="22"/>
        <v>47.4855324074074</v>
      </c>
      <c r="AL16" s="19">
        <v>550.712</v>
      </c>
      <c r="AM16" s="20">
        <f t="shared" si="23"/>
        <v>31.8699074074074</v>
      </c>
      <c r="AN16" s="19">
        <v>620.333</v>
      </c>
      <c r="AO16" s="20">
        <f t="shared" si="24"/>
        <v>35.898900462963</v>
      </c>
      <c r="AP16" s="19">
        <v>414.99</v>
      </c>
      <c r="AQ16" s="20">
        <f t="shared" si="25"/>
        <v>24.015625</v>
      </c>
      <c r="AR16" s="19">
        <f t="shared" si="26"/>
        <v>443.783783783784</v>
      </c>
      <c r="AS16" s="8">
        <f t="shared" si="27"/>
        <v>25.6819319319319</v>
      </c>
      <c r="AT16" s="7">
        <f t="shared" si="28"/>
        <v>0.540836979810839</v>
      </c>
      <c r="AU16" s="7">
        <f t="shared" si="29"/>
        <v>0.805836415011447</v>
      </c>
      <c r="AV16" s="7">
        <f t="shared" si="30"/>
        <v>0.715396059509624</v>
      </c>
      <c r="AW16" s="7">
        <f t="shared" si="31"/>
        <v>1.06938428343763</v>
      </c>
      <c r="AX16" s="1"/>
      <c r="AY16" s="22">
        <v>516.8</v>
      </c>
      <c r="BA16" s="22">
        <v>746.385</v>
      </c>
      <c r="BC16" s="22">
        <v>687.36</v>
      </c>
      <c r="BE16">
        <f t="shared" si="32"/>
        <v>547.333333333333</v>
      </c>
      <c r="BG16">
        <f t="shared" si="33"/>
        <v>1.05908152734778</v>
      </c>
      <c r="BH16">
        <f t="shared" si="34"/>
        <v>0.733312343272351</v>
      </c>
      <c r="BI16">
        <f t="shared" si="35"/>
        <v>0.796283364369957</v>
      </c>
    </row>
    <row r="17" ht="20.4" spans="2:61">
      <c r="B17" s="2">
        <v>384</v>
      </c>
      <c r="C17" s="2">
        <v>44416</v>
      </c>
      <c r="D17" s="2">
        <v>384</v>
      </c>
      <c r="E17" s="2">
        <v>882</v>
      </c>
      <c r="F17" s="14">
        <v>12.35</v>
      </c>
      <c r="G17" s="2">
        <v>1633</v>
      </c>
      <c r="H17" s="15">
        <f t="shared" si="0"/>
        <v>22.8634632616487</v>
      </c>
      <c r="I17" s="21">
        <f t="shared" si="1"/>
        <v>10.5134632616487</v>
      </c>
      <c r="J17" s="7">
        <f t="shared" si="2"/>
        <v>1.85147392290249</v>
      </c>
      <c r="K17" s="7">
        <f t="shared" si="3"/>
        <v>0.611010460888221</v>
      </c>
      <c r="L17" s="7">
        <f t="shared" si="4"/>
        <v>0.563461537797987</v>
      </c>
      <c r="M17" s="7">
        <f t="shared" si="5"/>
        <v>0.56344983391859</v>
      </c>
      <c r="N17" s="7">
        <f t="shared" si="6"/>
        <v>1.27250851715744</v>
      </c>
      <c r="O17" s="8">
        <f t="shared" si="7"/>
        <v>2672.622</v>
      </c>
      <c r="P17" s="8">
        <f t="shared" si="8"/>
        <v>2898.157</v>
      </c>
      <c r="Q17" s="8">
        <f t="shared" si="9"/>
        <v>2898.2172</v>
      </c>
      <c r="R17" s="8">
        <f t="shared" si="10"/>
        <v>1283.292</v>
      </c>
      <c r="S17" s="11"/>
      <c r="T17" s="8">
        <v>310.77</v>
      </c>
      <c r="U17" s="8">
        <f t="shared" si="11"/>
        <v>41.5024038461538</v>
      </c>
      <c r="V17" s="8">
        <v>336.995</v>
      </c>
      <c r="W17" s="8">
        <f t="shared" si="12"/>
        <v>45.0046741452991</v>
      </c>
      <c r="X17" s="8">
        <v>337.002</v>
      </c>
      <c r="Y17" s="8">
        <f t="shared" si="13"/>
        <v>45.005608974359</v>
      </c>
      <c r="Z17" s="8">
        <v>149.22</v>
      </c>
      <c r="AA17" s="8">
        <f t="shared" si="14"/>
        <v>19.9278846153846</v>
      </c>
      <c r="AB17" s="8">
        <f t="shared" si="15"/>
        <v>171.894736842105</v>
      </c>
      <c r="AC17" s="8">
        <f t="shared" si="16"/>
        <v>189.883720930233</v>
      </c>
      <c r="AD17" s="8">
        <f t="shared" si="17"/>
        <v>22.9560278902384</v>
      </c>
      <c r="AE17" s="7">
        <f t="shared" si="18"/>
        <v>0.55312525933039</v>
      </c>
      <c r="AF17" s="7">
        <f t="shared" si="19"/>
        <v>0.51008097105923</v>
      </c>
      <c r="AG17" s="7">
        <f t="shared" si="20"/>
        <v>0.510070375968407</v>
      </c>
      <c r="AH17" s="7">
        <f t="shared" si="21"/>
        <v>1.15195507868989</v>
      </c>
      <c r="AI17" s="3"/>
      <c r="AJ17" s="19">
        <v>821.38</v>
      </c>
      <c r="AK17" s="20">
        <f t="shared" si="22"/>
        <v>47.5335648148148</v>
      </c>
      <c r="AL17" s="19">
        <v>555.246</v>
      </c>
      <c r="AM17" s="20">
        <f t="shared" si="23"/>
        <v>32.1322916666667</v>
      </c>
      <c r="AN17" s="19">
        <v>617.553</v>
      </c>
      <c r="AO17" s="20">
        <f t="shared" si="24"/>
        <v>35.7380208333333</v>
      </c>
      <c r="AP17" s="19">
        <v>456.56</v>
      </c>
      <c r="AQ17" s="20">
        <f t="shared" si="25"/>
        <v>26.4212962962963</v>
      </c>
      <c r="AR17" s="19">
        <f t="shared" si="26"/>
        <v>441.351351351351</v>
      </c>
      <c r="AS17" s="8">
        <f t="shared" si="27"/>
        <v>25.5411661661662</v>
      </c>
      <c r="AT17" s="7">
        <f t="shared" si="28"/>
        <v>0.537329069798816</v>
      </c>
      <c r="AU17" s="7">
        <f t="shared" si="29"/>
        <v>0.794875336970192</v>
      </c>
      <c r="AV17" s="7">
        <f t="shared" si="30"/>
        <v>0.714677689771326</v>
      </c>
      <c r="AW17" s="7">
        <f t="shared" si="31"/>
        <v>0.96668860905763</v>
      </c>
      <c r="AX17" s="1"/>
      <c r="AY17" s="22">
        <v>549.68</v>
      </c>
      <c r="BA17" s="22">
        <v>742.529</v>
      </c>
      <c r="BC17" s="22">
        <v>690.78</v>
      </c>
      <c r="BE17">
        <f t="shared" si="32"/>
        <v>544.333333333333</v>
      </c>
      <c r="BG17">
        <f t="shared" si="33"/>
        <v>0.99027312860816</v>
      </c>
      <c r="BH17">
        <f t="shared" si="34"/>
        <v>0.733080234352239</v>
      </c>
      <c r="BI17">
        <f t="shared" si="35"/>
        <v>0.787998108418503</v>
      </c>
    </row>
    <row r="18" ht="20.4" spans="2:61">
      <c r="B18" s="2">
        <v>384</v>
      </c>
      <c r="C18" s="2">
        <v>43264</v>
      </c>
      <c r="D18" s="2">
        <v>384</v>
      </c>
      <c r="E18" s="2">
        <v>879</v>
      </c>
      <c r="F18" s="14">
        <v>12.31</v>
      </c>
      <c r="G18" s="2">
        <v>1615</v>
      </c>
      <c r="H18" s="15">
        <f t="shared" si="0"/>
        <v>22.6114471326165</v>
      </c>
      <c r="I18" s="21">
        <f t="shared" si="1"/>
        <v>10.3014471326165</v>
      </c>
      <c r="J18" s="7">
        <f t="shared" si="2"/>
        <v>1.83731513083049</v>
      </c>
      <c r="K18" s="7">
        <f t="shared" si="3"/>
        <v>0.606617881818066</v>
      </c>
      <c r="L18" s="7">
        <f t="shared" si="4"/>
        <v>0.559257079432789</v>
      </c>
      <c r="M18" s="7">
        <f t="shared" si="5"/>
        <v>0.558252913803676</v>
      </c>
      <c r="N18" s="7">
        <f t="shared" si="6"/>
        <v>2.25384898793109</v>
      </c>
      <c r="O18" s="8">
        <f t="shared" si="7"/>
        <v>2662.302</v>
      </c>
      <c r="P18" s="8">
        <f t="shared" si="8"/>
        <v>2887.7596</v>
      </c>
      <c r="Q18" s="8">
        <f t="shared" si="9"/>
        <v>2892.954</v>
      </c>
      <c r="R18" s="8">
        <f t="shared" si="10"/>
        <v>716.552</v>
      </c>
      <c r="S18" s="11"/>
      <c r="T18" s="8">
        <v>309.57</v>
      </c>
      <c r="U18" s="8">
        <f t="shared" si="11"/>
        <v>41.3421474358974</v>
      </c>
      <c r="V18" s="8">
        <v>335.786</v>
      </c>
      <c r="W18" s="8">
        <f t="shared" si="12"/>
        <v>44.8432158119658</v>
      </c>
      <c r="X18" s="8">
        <v>336.39</v>
      </c>
      <c r="Y18" s="8">
        <f t="shared" si="13"/>
        <v>44.9238782051282</v>
      </c>
      <c r="Z18" s="8">
        <v>83.32</v>
      </c>
      <c r="AA18" s="8">
        <f t="shared" si="14"/>
        <v>11.1271367521368</v>
      </c>
      <c r="AB18" s="8">
        <f t="shared" si="15"/>
        <v>170</v>
      </c>
      <c r="AC18" s="8">
        <f t="shared" si="16"/>
        <v>187.790697674419</v>
      </c>
      <c r="AD18" s="8">
        <f t="shared" si="17"/>
        <v>22.7029914529915</v>
      </c>
      <c r="AE18" s="7">
        <f t="shared" si="18"/>
        <v>0.549148819330038</v>
      </c>
      <c r="AF18" s="7">
        <f t="shared" si="19"/>
        <v>0.506274829802315</v>
      </c>
      <c r="AG18" s="7">
        <f t="shared" si="20"/>
        <v>0.505365795653854</v>
      </c>
      <c r="AH18" s="7">
        <f t="shared" si="21"/>
        <v>2.04032645223236</v>
      </c>
      <c r="AI18" s="3"/>
      <c r="AJ18" s="19">
        <v>819.68</v>
      </c>
      <c r="AK18" s="20">
        <f t="shared" si="22"/>
        <v>47.4351851851852</v>
      </c>
      <c r="AL18" s="19">
        <v>555.302</v>
      </c>
      <c r="AM18" s="20">
        <f t="shared" si="23"/>
        <v>32.1355324074074</v>
      </c>
      <c r="AN18" s="19">
        <v>620.504</v>
      </c>
      <c r="AO18" s="20">
        <f t="shared" si="24"/>
        <v>35.9087962962963</v>
      </c>
      <c r="AP18" s="19">
        <v>407.09</v>
      </c>
      <c r="AQ18" s="20">
        <f t="shared" si="25"/>
        <v>23.5584490740741</v>
      </c>
      <c r="AR18" s="19">
        <f t="shared" si="26"/>
        <v>436.486486486486</v>
      </c>
      <c r="AS18" s="8">
        <f t="shared" si="27"/>
        <v>25.2596346346346</v>
      </c>
      <c r="AT18" s="7">
        <f t="shared" si="28"/>
        <v>0.53250840143286</v>
      </c>
      <c r="AU18" s="7">
        <f t="shared" si="29"/>
        <v>0.786034421785779</v>
      </c>
      <c r="AV18" s="7">
        <f t="shared" si="30"/>
        <v>0.703438634539804</v>
      </c>
      <c r="AW18" s="7">
        <f t="shared" si="31"/>
        <v>1.07221127143012</v>
      </c>
      <c r="AX18" s="1"/>
      <c r="AY18" s="22">
        <v>547.74</v>
      </c>
      <c r="BA18" s="22">
        <v>731.183</v>
      </c>
      <c r="BC18" s="22">
        <v>693.05</v>
      </c>
      <c r="BE18">
        <f t="shared" si="32"/>
        <v>538.333333333333</v>
      </c>
      <c r="BG18">
        <f t="shared" si="33"/>
        <v>0.982826401820815</v>
      </c>
      <c r="BH18">
        <f t="shared" si="34"/>
        <v>0.736249794283146</v>
      </c>
      <c r="BI18">
        <f t="shared" si="35"/>
        <v>0.776759733544958</v>
      </c>
    </row>
    <row r="19" ht="20.4" spans="2:61">
      <c r="B19" s="2">
        <v>384</v>
      </c>
      <c r="C19" s="2">
        <v>41344</v>
      </c>
      <c r="D19" s="2">
        <v>384</v>
      </c>
      <c r="E19" s="2">
        <v>880</v>
      </c>
      <c r="F19" s="14">
        <v>12.35</v>
      </c>
      <c r="G19" s="2">
        <v>1600</v>
      </c>
      <c r="H19" s="15">
        <f t="shared" si="0"/>
        <v>22.4014336917563</v>
      </c>
      <c r="I19" s="21">
        <f t="shared" si="1"/>
        <v>10.0514336917563</v>
      </c>
      <c r="J19" s="7">
        <f t="shared" si="2"/>
        <v>1.81818181818182</v>
      </c>
      <c r="K19" s="7">
        <f t="shared" si="3"/>
        <v>0.599280114762142</v>
      </c>
      <c r="L19" s="7">
        <f t="shared" si="4"/>
        <v>0.555782461464649</v>
      </c>
      <c r="M19" s="7">
        <f t="shared" si="5"/>
        <v>0.552243780285394</v>
      </c>
      <c r="N19" s="7">
        <f t="shared" si="6"/>
        <v>1.2871628035693</v>
      </c>
      <c r="O19" s="8">
        <f t="shared" si="7"/>
        <v>2669.87</v>
      </c>
      <c r="P19" s="8">
        <f t="shared" si="8"/>
        <v>2878.8242</v>
      </c>
      <c r="Q19" s="8">
        <f t="shared" si="9"/>
        <v>2897.2712</v>
      </c>
      <c r="R19" s="8">
        <f t="shared" si="10"/>
        <v>1243.044</v>
      </c>
      <c r="S19" s="11"/>
      <c r="T19" s="8">
        <v>310.45</v>
      </c>
      <c r="U19" s="8">
        <f t="shared" si="11"/>
        <v>41.4596688034188</v>
      </c>
      <c r="V19" s="8">
        <v>334.747</v>
      </c>
      <c r="W19" s="8">
        <f t="shared" si="12"/>
        <v>44.7044604700855</v>
      </c>
      <c r="X19" s="8">
        <v>336.892</v>
      </c>
      <c r="Y19" s="8">
        <f t="shared" si="13"/>
        <v>44.9909188034188</v>
      </c>
      <c r="Z19" s="8">
        <v>144.54</v>
      </c>
      <c r="AA19" s="8">
        <f t="shared" si="14"/>
        <v>19.3028846153846</v>
      </c>
      <c r="AB19" s="8">
        <f t="shared" si="15"/>
        <v>168.421052631579</v>
      </c>
      <c r="AC19" s="8">
        <f t="shared" si="16"/>
        <v>186.046511627907</v>
      </c>
      <c r="AD19" s="8">
        <f t="shared" si="17"/>
        <v>22.4921277552857</v>
      </c>
      <c r="AE19" s="7">
        <f t="shared" si="18"/>
        <v>0.542506209153097</v>
      </c>
      <c r="AF19" s="7">
        <f t="shared" si="19"/>
        <v>0.503129386167998</v>
      </c>
      <c r="AG19" s="7">
        <f t="shared" si="20"/>
        <v>0.499925948468883</v>
      </c>
      <c r="AH19" s="7">
        <f t="shared" si="21"/>
        <v>1.16522106428379</v>
      </c>
      <c r="AI19" s="3"/>
      <c r="AJ19" s="19">
        <v>843.85</v>
      </c>
      <c r="AK19" s="20">
        <f t="shared" si="22"/>
        <v>48.833912037037</v>
      </c>
      <c r="AL19" s="19">
        <v>556.254</v>
      </c>
      <c r="AM19" s="20">
        <f t="shared" si="23"/>
        <v>32.190625</v>
      </c>
      <c r="AN19" s="19">
        <v>623.926</v>
      </c>
      <c r="AO19" s="20">
        <f t="shared" si="24"/>
        <v>36.1068287037037</v>
      </c>
      <c r="AP19" s="19">
        <v>443.08</v>
      </c>
      <c r="AQ19" s="20">
        <f t="shared" si="25"/>
        <v>25.6412037037037</v>
      </c>
      <c r="AR19" s="19">
        <f t="shared" si="26"/>
        <v>432.432432432432</v>
      </c>
      <c r="AS19" s="8">
        <f t="shared" si="27"/>
        <v>25.025025025025</v>
      </c>
      <c r="AT19" s="7">
        <f t="shared" si="28"/>
        <v>0.512451777487033</v>
      </c>
      <c r="AU19" s="7">
        <f t="shared" si="29"/>
        <v>0.777401029803709</v>
      </c>
      <c r="AV19" s="7">
        <f t="shared" si="30"/>
        <v>0.693082885522373</v>
      </c>
      <c r="AW19" s="7">
        <f t="shared" si="31"/>
        <v>0.975969198412098</v>
      </c>
      <c r="AX19" s="1"/>
      <c r="AY19" s="22">
        <v>554.41</v>
      </c>
      <c r="BA19" s="22">
        <v>730.968</v>
      </c>
      <c r="BC19" s="22">
        <v>697.77</v>
      </c>
      <c r="BE19">
        <f t="shared" si="32"/>
        <v>533.333333333333</v>
      </c>
      <c r="BG19">
        <f t="shared" si="33"/>
        <v>0.961983610204241</v>
      </c>
      <c r="BH19">
        <f t="shared" si="34"/>
        <v>0.729626103103465</v>
      </c>
      <c r="BI19">
        <f t="shared" si="35"/>
        <v>0.764339729901448</v>
      </c>
    </row>
    <row r="20" ht="20.4" spans="2:61">
      <c r="B20" s="2">
        <v>384</v>
      </c>
      <c r="C20" s="2">
        <v>39040</v>
      </c>
      <c r="D20" s="2">
        <v>384</v>
      </c>
      <c r="E20" s="2">
        <v>883</v>
      </c>
      <c r="F20" s="14">
        <v>12.36</v>
      </c>
      <c r="G20" s="2">
        <v>1605</v>
      </c>
      <c r="H20" s="15">
        <f t="shared" si="0"/>
        <v>22.471438172043</v>
      </c>
      <c r="I20" s="21">
        <f t="shared" si="1"/>
        <v>10.111438172043</v>
      </c>
      <c r="J20" s="7">
        <f t="shared" si="2"/>
        <v>1.81766704416761</v>
      </c>
      <c r="K20" s="7">
        <f t="shared" si="3"/>
        <v>0.599068811917774</v>
      </c>
      <c r="L20" s="7">
        <f t="shared" si="4"/>
        <v>0.557480977915417</v>
      </c>
      <c r="M20" s="7">
        <f t="shared" si="5"/>
        <v>0.553476674941114</v>
      </c>
      <c r="N20" s="7">
        <f t="shared" si="6"/>
        <v>1.20747869420771</v>
      </c>
      <c r="O20" s="8">
        <f t="shared" si="7"/>
        <v>2679.158</v>
      </c>
      <c r="P20" s="8">
        <f t="shared" si="8"/>
        <v>2879.022</v>
      </c>
      <c r="Q20" s="8">
        <f t="shared" si="9"/>
        <v>2899.8512</v>
      </c>
      <c r="R20" s="8">
        <f t="shared" si="10"/>
        <v>1329.216</v>
      </c>
      <c r="S20" s="11"/>
      <c r="T20" s="8">
        <v>311.53</v>
      </c>
      <c r="U20" s="8">
        <f t="shared" si="11"/>
        <v>41.6038995726496</v>
      </c>
      <c r="V20" s="8">
        <v>334.77</v>
      </c>
      <c r="W20" s="8">
        <f t="shared" si="12"/>
        <v>44.7075320512821</v>
      </c>
      <c r="X20" s="8">
        <v>337.192</v>
      </c>
      <c r="Y20" s="8">
        <f t="shared" si="13"/>
        <v>45.0309829059829</v>
      </c>
      <c r="Z20" s="8">
        <v>154.56</v>
      </c>
      <c r="AA20" s="8">
        <f t="shared" si="14"/>
        <v>20.6410256410256</v>
      </c>
      <c r="AB20" s="8">
        <f t="shared" si="15"/>
        <v>168.947368421053</v>
      </c>
      <c r="AC20" s="8">
        <f t="shared" si="16"/>
        <v>186.627906976744</v>
      </c>
      <c r="AD20" s="8">
        <f t="shared" si="17"/>
        <v>22.5624156545209</v>
      </c>
      <c r="AE20" s="7">
        <f t="shared" si="18"/>
        <v>0.542314924472932</v>
      </c>
      <c r="AF20" s="7">
        <f t="shared" si="19"/>
        <v>0.504666990533957</v>
      </c>
      <c r="AG20" s="7">
        <f t="shared" si="20"/>
        <v>0.501042042578272</v>
      </c>
      <c r="AH20" s="7">
        <f t="shared" si="21"/>
        <v>1.09308597580909</v>
      </c>
      <c r="AI20" s="3"/>
      <c r="AJ20" s="19">
        <v>849.69</v>
      </c>
      <c r="AK20" s="20">
        <f t="shared" si="22"/>
        <v>49.171875</v>
      </c>
      <c r="AL20" s="19">
        <v>553.81</v>
      </c>
      <c r="AM20" s="20">
        <f t="shared" si="23"/>
        <v>32.0491898148148</v>
      </c>
      <c r="AN20" s="19">
        <v>619.561</v>
      </c>
      <c r="AO20" s="20">
        <f t="shared" si="24"/>
        <v>35.854224537037</v>
      </c>
      <c r="AP20" s="19">
        <v>460.22</v>
      </c>
      <c r="AQ20" s="20">
        <f t="shared" si="25"/>
        <v>26.6331018518519</v>
      </c>
      <c r="AR20" s="19">
        <f t="shared" si="26"/>
        <v>433.783783783784</v>
      </c>
      <c r="AS20" s="8">
        <f t="shared" si="27"/>
        <v>25.1032282282282</v>
      </c>
      <c r="AT20" s="7">
        <f t="shared" si="28"/>
        <v>0.510520052941407</v>
      </c>
      <c r="AU20" s="7">
        <f t="shared" si="29"/>
        <v>0.783271850966548</v>
      </c>
      <c r="AV20" s="7">
        <f t="shared" si="30"/>
        <v>0.700147013423672</v>
      </c>
      <c r="AW20" s="7">
        <f t="shared" si="31"/>
        <v>0.942557437277354</v>
      </c>
      <c r="AX20" s="1"/>
      <c r="AY20" s="22">
        <v>541.23</v>
      </c>
      <c r="BA20" s="22">
        <v>707.732</v>
      </c>
      <c r="BC20" s="22">
        <v>686.37</v>
      </c>
      <c r="BE20">
        <f t="shared" si="32"/>
        <v>535</v>
      </c>
      <c r="BG20">
        <f t="shared" si="33"/>
        <v>0.988489182048297</v>
      </c>
      <c r="BH20">
        <f t="shared" si="34"/>
        <v>0.755935862727699</v>
      </c>
      <c r="BI20">
        <f t="shared" si="35"/>
        <v>0.779462971866486</v>
      </c>
    </row>
    <row r="21" ht="20.4" spans="2:61">
      <c r="B21" s="2">
        <v>384</v>
      </c>
      <c r="C21" s="2">
        <v>34432</v>
      </c>
      <c r="D21" s="2">
        <v>384</v>
      </c>
      <c r="E21" s="2">
        <v>876</v>
      </c>
      <c r="F21" s="14">
        <v>12.26</v>
      </c>
      <c r="G21" s="2">
        <v>1591</v>
      </c>
      <c r="H21" s="15">
        <f t="shared" si="0"/>
        <v>22.2754256272401</v>
      </c>
      <c r="I21" s="21">
        <f t="shared" si="1"/>
        <v>10.0154256272401</v>
      </c>
      <c r="J21" s="7">
        <f t="shared" si="2"/>
        <v>1.8162100456621</v>
      </c>
      <c r="K21" s="7">
        <f t="shared" si="3"/>
        <v>0.596081969325944</v>
      </c>
      <c r="L21" s="7">
        <f t="shared" si="4"/>
        <v>0.554543056521426</v>
      </c>
      <c r="M21" s="7">
        <f t="shared" si="5"/>
        <v>0.711081728274531</v>
      </c>
      <c r="N21" s="7">
        <f t="shared" si="6"/>
        <v>1.23894990624163</v>
      </c>
      <c r="O21" s="8">
        <f t="shared" si="7"/>
        <v>2669.096</v>
      </c>
      <c r="P21" s="8">
        <f t="shared" si="8"/>
        <v>2869.0288</v>
      </c>
      <c r="Q21" s="8">
        <f t="shared" si="9"/>
        <v>2237.4362</v>
      </c>
      <c r="R21" s="8">
        <f t="shared" si="10"/>
        <v>1284.152</v>
      </c>
      <c r="S21" s="11"/>
      <c r="T21" s="8">
        <v>310.36</v>
      </c>
      <c r="U21" s="8">
        <f t="shared" si="11"/>
        <v>41.4476495726496</v>
      </c>
      <c r="V21" s="8">
        <v>333.608</v>
      </c>
      <c r="W21" s="8">
        <f t="shared" si="12"/>
        <v>44.5523504273504</v>
      </c>
      <c r="X21" s="8">
        <v>260.167</v>
      </c>
      <c r="Y21" s="8">
        <f t="shared" si="13"/>
        <v>34.7445245726496</v>
      </c>
      <c r="Z21" s="8">
        <v>149.32</v>
      </c>
      <c r="AA21" s="8">
        <f t="shared" si="14"/>
        <v>19.9412393162393</v>
      </c>
      <c r="AB21" s="8">
        <f t="shared" si="15"/>
        <v>167.473684210526</v>
      </c>
      <c r="AC21" s="8">
        <f t="shared" si="16"/>
        <v>185</v>
      </c>
      <c r="AD21" s="8">
        <f t="shared" si="17"/>
        <v>22.3656095366622</v>
      </c>
      <c r="AE21" s="7">
        <f t="shared" si="18"/>
        <v>0.539611045916118</v>
      </c>
      <c r="AF21" s="7">
        <f t="shared" si="19"/>
        <v>0.502007398535186</v>
      </c>
      <c r="AG21" s="7">
        <f t="shared" si="20"/>
        <v>0.64371609085905</v>
      </c>
      <c r="AH21" s="7">
        <f t="shared" si="21"/>
        <v>1.12157570459769</v>
      </c>
      <c r="AI21" s="3"/>
      <c r="AJ21" s="19">
        <v>857.96</v>
      </c>
      <c r="AK21" s="20">
        <f t="shared" si="22"/>
        <v>49.650462962963</v>
      </c>
      <c r="AL21" s="19">
        <v>564.351</v>
      </c>
      <c r="AM21" s="20">
        <f t="shared" si="23"/>
        <v>32.6592013888889</v>
      </c>
      <c r="AN21" s="19">
        <v>625.313</v>
      </c>
      <c r="AO21" s="20">
        <f t="shared" si="24"/>
        <v>36.1870949074074</v>
      </c>
      <c r="AP21" s="19">
        <v>462.79</v>
      </c>
      <c r="AQ21" s="20">
        <f t="shared" si="25"/>
        <v>26.7818287037037</v>
      </c>
      <c r="AR21" s="19">
        <f t="shared" si="26"/>
        <v>430</v>
      </c>
      <c r="AS21" s="8">
        <f t="shared" si="27"/>
        <v>24.8842592592593</v>
      </c>
      <c r="AT21" s="7">
        <f t="shared" si="28"/>
        <v>0.501188866613828</v>
      </c>
      <c r="AU21" s="7">
        <f t="shared" si="29"/>
        <v>0.761937163219344</v>
      </c>
      <c r="AV21" s="7">
        <f t="shared" si="30"/>
        <v>0.68765562206447</v>
      </c>
      <c r="AW21" s="7">
        <f t="shared" si="31"/>
        <v>0.929147129367532</v>
      </c>
      <c r="AX21" s="1"/>
      <c r="AY21" s="22">
        <v>542.21</v>
      </c>
      <c r="BA21" s="22">
        <v>676.729</v>
      </c>
      <c r="BC21" s="22">
        <v>695.46</v>
      </c>
      <c r="BE21">
        <f t="shared" si="32"/>
        <v>530.333333333333</v>
      </c>
      <c r="BG21">
        <f t="shared" si="33"/>
        <v>0.978095817733596</v>
      </c>
      <c r="BH21">
        <f t="shared" si="34"/>
        <v>0.78367165192172</v>
      </c>
      <c r="BI21">
        <f t="shared" si="35"/>
        <v>0.762564825199628</v>
      </c>
    </row>
    <row r="22" ht="20.4" spans="2:61">
      <c r="B22" s="2">
        <v>384</v>
      </c>
      <c r="C22" s="2">
        <v>32512</v>
      </c>
      <c r="D22" s="2">
        <v>384</v>
      </c>
      <c r="E22" s="2">
        <v>872</v>
      </c>
      <c r="F22" s="14">
        <v>12.21</v>
      </c>
      <c r="G22" s="2">
        <v>1582</v>
      </c>
      <c r="H22" s="15">
        <f t="shared" si="0"/>
        <v>22.149417562724</v>
      </c>
      <c r="I22" s="21">
        <f t="shared" si="1"/>
        <v>9.93941756272401</v>
      </c>
      <c r="J22" s="7">
        <f t="shared" si="2"/>
        <v>1.81422018348624</v>
      </c>
      <c r="K22" s="7">
        <f t="shared" si="3"/>
        <v>0.599372742406872</v>
      </c>
      <c r="L22" s="7">
        <f t="shared" si="4"/>
        <v>0.55111700827212</v>
      </c>
      <c r="M22" s="7">
        <f t="shared" si="5"/>
        <v>0.737998428837732</v>
      </c>
      <c r="N22" s="7">
        <f t="shared" si="6"/>
        <v>2.4390544732444</v>
      </c>
      <c r="O22" s="8">
        <f t="shared" si="7"/>
        <v>2639.426</v>
      </c>
      <c r="P22" s="8">
        <f t="shared" si="8"/>
        <v>2870.5338</v>
      </c>
      <c r="Q22" s="8">
        <f t="shared" si="9"/>
        <v>2143.636</v>
      </c>
      <c r="R22" s="8">
        <f t="shared" si="10"/>
        <v>648.612</v>
      </c>
      <c r="S22" s="11"/>
      <c r="T22" s="8">
        <v>306.91</v>
      </c>
      <c r="U22" s="8">
        <f t="shared" si="11"/>
        <v>40.9869123931624</v>
      </c>
      <c r="V22" s="8">
        <v>333.783</v>
      </c>
      <c r="W22" s="8">
        <f t="shared" si="12"/>
        <v>44.5757211538462</v>
      </c>
      <c r="X22" s="8">
        <v>249.26</v>
      </c>
      <c r="Y22" s="8">
        <f t="shared" si="13"/>
        <v>33.2879273504273</v>
      </c>
      <c r="Z22" s="8">
        <v>75.42</v>
      </c>
      <c r="AA22" s="8">
        <f t="shared" si="14"/>
        <v>10.0721153846154</v>
      </c>
      <c r="AB22" s="8">
        <f t="shared" si="15"/>
        <v>166.526315789474</v>
      </c>
      <c r="AC22" s="8">
        <f t="shared" si="16"/>
        <v>183.953488372093</v>
      </c>
      <c r="AD22" s="8">
        <f t="shared" si="17"/>
        <v>22.2390913180387</v>
      </c>
      <c r="AE22" s="7">
        <f t="shared" si="18"/>
        <v>0.542590061547273</v>
      </c>
      <c r="AF22" s="7">
        <f t="shared" si="19"/>
        <v>0.498905923277919</v>
      </c>
      <c r="AG22" s="7">
        <f t="shared" si="20"/>
        <v>0.668082788210999</v>
      </c>
      <c r="AH22" s="7">
        <f t="shared" si="21"/>
        <v>2.20798615472651</v>
      </c>
      <c r="AI22" s="3"/>
      <c r="AJ22" s="19">
        <v>860.97</v>
      </c>
      <c r="AK22" s="20">
        <f t="shared" si="22"/>
        <v>49.8246527777778</v>
      </c>
      <c r="AL22" s="19">
        <v>569.221</v>
      </c>
      <c r="AM22" s="20">
        <f t="shared" si="23"/>
        <v>32.9410300925926</v>
      </c>
      <c r="AN22" s="19">
        <v>617.907</v>
      </c>
      <c r="AO22" s="20">
        <f t="shared" si="24"/>
        <v>35.7585069444444</v>
      </c>
      <c r="AP22" s="19">
        <v>414.23</v>
      </c>
      <c r="AQ22" s="20">
        <f t="shared" si="25"/>
        <v>23.9716435185185</v>
      </c>
      <c r="AR22" s="19">
        <f t="shared" si="26"/>
        <v>427.567567567568</v>
      </c>
      <c r="AS22" s="8">
        <f t="shared" si="27"/>
        <v>24.7434934934935</v>
      </c>
      <c r="AT22" s="7">
        <f t="shared" si="28"/>
        <v>0.496611458665886</v>
      </c>
      <c r="AU22" s="7">
        <f t="shared" si="29"/>
        <v>0.751145104568467</v>
      </c>
      <c r="AV22" s="7">
        <f t="shared" si="30"/>
        <v>0.69196103550788</v>
      </c>
      <c r="AW22" s="7">
        <f t="shared" si="31"/>
        <v>1.03219845874893</v>
      </c>
      <c r="AX22" s="1"/>
      <c r="AY22" s="22">
        <v>551.79</v>
      </c>
      <c r="BA22" s="22">
        <v>672.035</v>
      </c>
      <c r="BC22" s="22">
        <v>695.35</v>
      </c>
      <c r="BE22">
        <f t="shared" si="32"/>
        <v>527.333333333333</v>
      </c>
      <c r="BG22">
        <f t="shared" si="33"/>
        <v>0.955677582655237</v>
      </c>
      <c r="BH22">
        <f t="shared" si="34"/>
        <v>0.784681353401733</v>
      </c>
      <c r="BI22">
        <f t="shared" si="35"/>
        <v>0.758371084106325</v>
      </c>
    </row>
    <row r="23" ht="20.4" spans="2:61">
      <c r="B23" s="2">
        <v>384</v>
      </c>
      <c r="C23" s="2">
        <v>29440</v>
      </c>
      <c r="D23" s="2">
        <v>384</v>
      </c>
      <c r="E23" s="2">
        <v>816</v>
      </c>
      <c r="F23" s="14">
        <v>11.42</v>
      </c>
      <c r="G23" s="2">
        <v>1596</v>
      </c>
      <c r="H23" s="15">
        <f t="shared" si="0"/>
        <v>22.3454301075269</v>
      </c>
      <c r="I23" s="21">
        <f t="shared" si="1"/>
        <v>10.9254301075269</v>
      </c>
      <c r="J23" s="7">
        <f t="shared" si="2"/>
        <v>1.95588235294118</v>
      </c>
      <c r="K23" s="7">
        <f t="shared" si="3"/>
        <v>0.602439199314518</v>
      </c>
      <c r="L23" s="7">
        <f t="shared" si="4"/>
        <v>0.559194015026342</v>
      </c>
      <c r="M23" s="7">
        <f t="shared" si="5"/>
        <v>0.780698472726817</v>
      </c>
      <c r="N23" s="7">
        <f t="shared" si="6"/>
        <v>2.33435717419921</v>
      </c>
      <c r="O23" s="8">
        <f t="shared" si="7"/>
        <v>2649.23</v>
      </c>
      <c r="P23" s="8">
        <f t="shared" si="8"/>
        <v>2854.1078</v>
      </c>
      <c r="Q23" s="8">
        <f t="shared" si="9"/>
        <v>2044.3232</v>
      </c>
      <c r="R23" s="8">
        <f t="shared" si="10"/>
        <v>683.7</v>
      </c>
      <c r="S23" s="11"/>
      <c r="T23" s="8">
        <v>308.05</v>
      </c>
      <c r="U23" s="8">
        <f t="shared" si="11"/>
        <v>41.139155982906</v>
      </c>
      <c r="V23" s="8">
        <v>331.873</v>
      </c>
      <c r="W23" s="8">
        <f t="shared" si="12"/>
        <v>44.3206463675214</v>
      </c>
      <c r="X23" s="8">
        <v>237.712</v>
      </c>
      <c r="Y23" s="8">
        <f t="shared" si="13"/>
        <v>31.7457264957265</v>
      </c>
      <c r="Z23" s="8">
        <v>79.5</v>
      </c>
      <c r="AA23" s="8">
        <f t="shared" si="14"/>
        <v>10.6169871794872</v>
      </c>
      <c r="AB23" s="8">
        <f t="shared" si="15"/>
        <v>168</v>
      </c>
      <c r="AC23" s="8">
        <f t="shared" si="16"/>
        <v>185.581395348837</v>
      </c>
      <c r="AD23" s="8">
        <f t="shared" si="17"/>
        <v>22.4358974358974</v>
      </c>
      <c r="AE23" s="7">
        <f t="shared" si="18"/>
        <v>0.545366012011037</v>
      </c>
      <c r="AF23" s="7">
        <f t="shared" si="19"/>
        <v>0.506217739918583</v>
      </c>
      <c r="AG23" s="7">
        <f t="shared" si="20"/>
        <v>0.706737564784277</v>
      </c>
      <c r="AH23" s="7">
        <f t="shared" si="21"/>
        <v>2.11320754716981</v>
      </c>
      <c r="AI23" s="3"/>
      <c r="AJ23" s="19">
        <v>859.06</v>
      </c>
      <c r="AK23" s="20">
        <f t="shared" si="22"/>
        <v>49.7141203703704</v>
      </c>
      <c r="AL23" s="19">
        <v>564.59</v>
      </c>
      <c r="AM23" s="20">
        <f t="shared" si="23"/>
        <v>32.6730324074074</v>
      </c>
      <c r="AN23" s="19">
        <v>622.103</v>
      </c>
      <c r="AO23" s="20">
        <f t="shared" si="24"/>
        <v>36.0013310185185</v>
      </c>
      <c r="AP23" s="19">
        <v>416.93</v>
      </c>
      <c r="AQ23" s="20">
        <f t="shared" si="25"/>
        <v>24.1278935185185</v>
      </c>
      <c r="AR23" s="19">
        <f t="shared" si="26"/>
        <v>431.351351351351</v>
      </c>
      <c r="AS23" s="8">
        <f t="shared" si="27"/>
        <v>24.9624624624625</v>
      </c>
      <c r="AT23" s="7">
        <f t="shared" si="28"/>
        <v>0.502120167801261</v>
      </c>
      <c r="AU23" s="7">
        <f t="shared" si="29"/>
        <v>0.764008132186811</v>
      </c>
      <c r="AV23" s="7">
        <f t="shared" si="30"/>
        <v>0.693376099056509</v>
      </c>
      <c r="AW23" s="7">
        <f t="shared" si="31"/>
        <v>1.03458938275334</v>
      </c>
      <c r="AX23" s="1"/>
      <c r="AY23" s="22">
        <v>528.96</v>
      </c>
      <c r="BA23" s="22">
        <v>647.771</v>
      </c>
      <c r="BC23" s="22">
        <v>688.41</v>
      </c>
      <c r="BE23">
        <f t="shared" si="32"/>
        <v>532</v>
      </c>
      <c r="BG23">
        <f t="shared" si="33"/>
        <v>1.00574712643678</v>
      </c>
      <c r="BH23">
        <f t="shared" si="34"/>
        <v>0.821277889871575</v>
      </c>
      <c r="BI23">
        <f t="shared" si="35"/>
        <v>0.772795281881437</v>
      </c>
    </row>
    <row r="24" ht="20.4" spans="2:61">
      <c r="B24" s="2">
        <v>384</v>
      </c>
      <c r="C24" s="2">
        <v>27904</v>
      </c>
      <c r="D24" s="2">
        <v>384</v>
      </c>
      <c r="E24" s="2">
        <v>807</v>
      </c>
      <c r="F24" s="14">
        <v>11.3</v>
      </c>
      <c r="G24" s="2">
        <v>1586</v>
      </c>
      <c r="H24" s="15">
        <f t="shared" si="0"/>
        <v>22.2054211469534</v>
      </c>
      <c r="I24" s="21">
        <f t="shared" si="1"/>
        <v>10.9054211469534</v>
      </c>
      <c r="J24" s="7">
        <f t="shared" si="2"/>
        <v>1.96530359355638</v>
      </c>
      <c r="K24" s="7">
        <f t="shared" si="3"/>
        <v>0.600731635073334</v>
      </c>
      <c r="L24" s="7">
        <f t="shared" si="4"/>
        <v>0.557607381962322</v>
      </c>
      <c r="M24" s="7">
        <f t="shared" si="5"/>
        <v>0.707259433908836</v>
      </c>
      <c r="N24" s="7">
        <f t="shared" si="6"/>
        <v>2.37867412164533</v>
      </c>
      <c r="O24" s="8">
        <f t="shared" si="7"/>
        <v>2640.114</v>
      </c>
      <c r="P24" s="8">
        <f t="shared" si="8"/>
        <v>2844.2952</v>
      </c>
      <c r="Q24" s="8">
        <f t="shared" si="9"/>
        <v>2242.4586</v>
      </c>
      <c r="R24" s="8">
        <f t="shared" si="10"/>
        <v>666.758</v>
      </c>
      <c r="S24" s="11"/>
      <c r="T24" s="8">
        <v>306.99</v>
      </c>
      <c r="U24" s="8">
        <f t="shared" si="11"/>
        <v>40.9975961538462</v>
      </c>
      <c r="V24" s="8">
        <v>330.732</v>
      </c>
      <c r="W24" s="8">
        <f t="shared" si="12"/>
        <v>44.1682692307692</v>
      </c>
      <c r="X24" s="8">
        <v>260.751</v>
      </c>
      <c r="Y24" s="8">
        <f t="shared" si="13"/>
        <v>34.822516025641</v>
      </c>
      <c r="Z24" s="8">
        <v>77.53</v>
      </c>
      <c r="AA24" s="8">
        <f t="shared" si="14"/>
        <v>10.3538995726496</v>
      </c>
      <c r="AB24" s="8">
        <f t="shared" si="15"/>
        <v>166.947368421053</v>
      </c>
      <c r="AC24" s="8">
        <f t="shared" si="16"/>
        <v>184.418604651163</v>
      </c>
      <c r="AD24" s="8">
        <f t="shared" si="17"/>
        <v>22.2953216374269</v>
      </c>
      <c r="AE24" s="7">
        <f t="shared" si="18"/>
        <v>0.543820217013755</v>
      </c>
      <c r="AF24" s="7">
        <f t="shared" si="19"/>
        <v>0.504781419460629</v>
      </c>
      <c r="AG24" s="7">
        <f t="shared" si="20"/>
        <v>0.640255908591156</v>
      </c>
      <c r="AH24" s="7">
        <f t="shared" si="21"/>
        <v>2.15332604696314</v>
      </c>
      <c r="AI24" s="3"/>
      <c r="AJ24" s="19">
        <v>883.18</v>
      </c>
      <c r="AK24" s="20">
        <f t="shared" si="22"/>
        <v>51.1099537037037</v>
      </c>
      <c r="AL24" s="19">
        <v>568.039</v>
      </c>
      <c r="AM24" s="20">
        <f t="shared" si="23"/>
        <v>32.8726273148148</v>
      </c>
      <c r="AN24" s="19">
        <v>617.46</v>
      </c>
      <c r="AO24" s="20">
        <f t="shared" si="24"/>
        <v>35.7326388888889</v>
      </c>
      <c r="AP24" s="19">
        <v>412.38</v>
      </c>
      <c r="AQ24" s="20">
        <f t="shared" si="25"/>
        <v>23.8645833333333</v>
      </c>
      <c r="AR24" s="19">
        <f t="shared" si="26"/>
        <v>428.648648648649</v>
      </c>
      <c r="AS24" s="8">
        <f t="shared" si="27"/>
        <v>24.8060560560561</v>
      </c>
      <c r="AT24" s="7">
        <f t="shared" si="28"/>
        <v>0.48534687000232</v>
      </c>
      <c r="AU24" s="7">
        <f t="shared" si="29"/>
        <v>0.75461130071817</v>
      </c>
      <c r="AV24" s="7">
        <f t="shared" si="30"/>
        <v>0.694212821314172</v>
      </c>
      <c r="AW24" s="7">
        <f t="shared" si="31"/>
        <v>1.03945062478454</v>
      </c>
      <c r="AX24" s="1"/>
      <c r="AY24" s="22">
        <v>542.9</v>
      </c>
      <c r="BA24" s="22">
        <v>655.165</v>
      </c>
      <c r="BC24" s="22">
        <v>679.96</v>
      </c>
      <c r="BE24">
        <f t="shared" si="32"/>
        <v>528.666666666667</v>
      </c>
      <c r="BG24">
        <f t="shared" si="33"/>
        <v>0.97378277153558</v>
      </c>
      <c r="BH24">
        <f t="shared" si="34"/>
        <v>0.80692141165457</v>
      </c>
      <c r="BI24">
        <f t="shared" si="35"/>
        <v>0.777496715493068</v>
      </c>
    </row>
    <row r="25" ht="20.4" spans="2:61">
      <c r="B25" s="2">
        <v>384</v>
      </c>
      <c r="C25" s="2">
        <v>24064</v>
      </c>
      <c r="D25" s="2">
        <v>384</v>
      </c>
      <c r="E25" s="2">
        <v>805</v>
      </c>
      <c r="F25" s="14">
        <v>11.27</v>
      </c>
      <c r="G25" s="2">
        <v>1574</v>
      </c>
      <c r="H25" s="15">
        <f t="shared" si="0"/>
        <v>22.0374103942652</v>
      </c>
      <c r="I25" s="21">
        <f t="shared" si="1"/>
        <v>10.7674103942652</v>
      </c>
      <c r="J25" s="7">
        <f t="shared" si="2"/>
        <v>1.95527950310559</v>
      </c>
      <c r="K25" s="7">
        <f t="shared" si="3"/>
        <v>0.594327831836186</v>
      </c>
      <c r="L25" s="7">
        <f t="shared" si="4"/>
        <v>0.556076892362521</v>
      </c>
      <c r="M25" s="7">
        <f t="shared" si="5"/>
        <v>0.675998654874341</v>
      </c>
      <c r="N25" s="7">
        <f t="shared" si="6"/>
        <v>2.54942548842392</v>
      </c>
      <c r="O25" s="8">
        <f t="shared" si="7"/>
        <v>2648.37</v>
      </c>
      <c r="P25" s="8">
        <f t="shared" si="8"/>
        <v>2830.5438</v>
      </c>
      <c r="Q25" s="8">
        <f t="shared" si="9"/>
        <v>2328.407</v>
      </c>
      <c r="R25" s="8">
        <f t="shared" si="10"/>
        <v>617.394</v>
      </c>
      <c r="S25" s="11"/>
      <c r="T25" s="8">
        <v>307.95</v>
      </c>
      <c r="U25" s="8">
        <f t="shared" si="11"/>
        <v>41.1258012820513</v>
      </c>
      <c r="V25" s="8">
        <v>329.133</v>
      </c>
      <c r="W25" s="8">
        <f t="shared" si="12"/>
        <v>43.9547275641026</v>
      </c>
      <c r="X25" s="8">
        <v>270.745</v>
      </c>
      <c r="Y25" s="8">
        <f t="shared" si="13"/>
        <v>36.1571848290598</v>
      </c>
      <c r="Z25" s="8">
        <v>71.79</v>
      </c>
      <c r="AA25" s="8">
        <f t="shared" si="14"/>
        <v>9.58733974358975</v>
      </c>
      <c r="AB25" s="8">
        <f t="shared" si="15"/>
        <v>165.684210526316</v>
      </c>
      <c r="AC25" s="8">
        <f t="shared" si="16"/>
        <v>183.023255813953</v>
      </c>
      <c r="AD25" s="8">
        <f t="shared" si="17"/>
        <v>22.1266306792623</v>
      </c>
      <c r="AE25" s="7">
        <f t="shared" si="18"/>
        <v>0.538023089872758</v>
      </c>
      <c r="AF25" s="7">
        <f t="shared" si="19"/>
        <v>0.503395923612387</v>
      </c>
      <c r="AG25" s="7">
        <f t="shared" si="20"/>
        <v>0.61195667704414</v>
      </c>
      <c r="AH25" s="7">
        <f t="shared" si="21"/>
        <v>2.30790096846797</v>
      </c>
      <c r="AI25" s="3"/>
      <c r="AJ25" s="19">
        <v>869.09</v>
      </c>
      <c r="AK25" s="20">
        <f t="shared" si="22"/>
        <v>50.2945601851852</v>
      </c>
      <c r="AL25" s="19">
        <v>580.549</v>
      </c>
      <c r="AM25" s="20">
        <f t="shared" si="23"/>
        <v>33.5965856481481</v>
      </c>
      <c r="AN25" s="19">
        <v>616.494</v>
      </c>
      <c r="AO25" s="20">
        <f t="shared" si="24"/>
        <v>35.6767361111111</v>
      </c>
      <c r="AP25" s="19">
        <v>190.2</v>
      </c>
      <c r="AQ25" s="20">
        <f t="shared" si="25"/>
        <v>11.0069444444444</v>
      </c>
      <c r="AR25" s="19">
        <f t="shared" si="26"/>
        <v>425.405405405405</v>
      </c>
      <c r="AS25" s="8">
        <f t="shared" si="27"/>
        <v>24.6183683683684</v>
      </c>
      <c r="AT25" s="7">
        <f t="shared" si="28"/>
        <v>0.489483719068687</v>
      </c>
      <c r="AU25" s="7">
        <f t="shared" si="29"/>
        <v>0.732763996502286</v>
      </c>
      <c r="AV25" s="7">
        <f t="shared" si="30"/>
        <v>0.690039814508179</v>
      </c>
      <c r="AW25" s="7">
        <f t="shared" si="31"/>
        <v>2.23662147952369</v>
      </c>
      <c r="AX25" s="1"/>
      <c r="AY25" s="22">
        <v>545</v>
      </c>
      <c r="BA25" s="22">
        <v>639.434</v>
      </c>
      <c r="BC25" s="22">
        <v>653.51</v>
      </c>
      <c r="BE25">
        <f t="shared" si="32"/>
        <v>524.666666666667</v>
      </c>
      <c r="BG25">
        <f t="shared" si="33"/>
        <v>0.962691131498471</v>
      </c>
      <c r="BH25">
        <f t="shared" si="34"/>
        <v>0.82051731166417</v>
      </c>
      <c r="BI25">
        <f t="shared" si="35"/>
        <v>0.802844128883516</v>
      </c>
    </row>
    <row r="26" ht="20.4" spans="2:61">
      <c r="B26" s="2">
        <v>384</v>
      </c>
      <c r="C26" s="2">
        <v>22912</v>
      </c>
      <c r="D26" s="2">
        <v>384</v>
      </c>
      <c r="E26" s="2">
        <v>805</v>
      </c>
      <c r="F26" s="14">
        <v>11.27</v>
      </c>
      <c r="G26" s="2">
        <v>1564</v>
      </c>
      <c r="H26" s="15">
        <f t="shared" si="0"/>
        <v>21.8974014336918</v>
      </c>
      <c r="I26" s="21">
        <f t="shared" si="1"/>
        <v>10.6274014336918</v>
      </c>
      <c r="J26" s="7">
        <f t="shared" si="2"/>
        <v>1.94285714285714</v>
      </c>
      <c r="K26" s="7">
        <f t="shared" si="3"/>
        <v>0.589308052871935</v>
      </c>
      <c r="L26" s="7">
        <f t="shared" si="4"/>
        <v>0.554030358313112</v>
      </c>
      <c r="M26" s="7">
        <f t="shared" si="5"/>
        <v>0.736411350716847</v>
      </c>
      <c r="N26" s="7">
        <f t="shared" si="6"/>
        <v>1.28805485598328</v>
      </c>
      <c r="O26" s="8">
        <f t="shared" si="7"/>
        <v>2653.96</v>
      </c>
      <c r="P26" s="8">
        <f t="shared" si="8"/>
        <v>2822.95</v>
      </c>
      <c r="Q26" s="8">
        <f t="shared" si="9"/>
        <v>2123.813</v>
      </c>
      <c r="R26" s="8">
        <f t="shared" si="10"/>
        <v>1214.234</v>
      </c>
      <c r="S26" s="11"/>
      <c r="T26" s="8">
        <v>308.6</v>
      </c>
      <c r="U26" s="8">
        <f t="shared" si="11"/>
        <v>41.2126068376068</v>
      </c>
      <c r="V26" s="8">
        <v>328.25</v>
      </c>
      <c r="W26" s="8">
        <f t="shared" si="12"/>
        <v>43.8368055555556</v>
      </c>
      <c r="X26" s="8">
        <v>246.955</v>
      </c>
      <c r="Y26" s="8">
        <f t="shared" si="13"/>
        <v>32.9801014957265</v>
      </c>
      <c r="Z26" s="8">
        <v>141.19</v>
      </c>
      <c r="AA26" s="8">
        <f t="shared" si="14"/>
        <v>18.8555021367521</v>
      </c>
      <c r="AB26" s="8">
        <f t="shared" si="15"/>
        <v>164.631578947368</v>
      </c>
      <c r="AC26" s="8">
        <f t="shared" si="16"/>
        <v>181.860465116279</v>
      </c>
      <c r="AD26" s="8">
        <f t="shared" si="17"/>
        <v>21.9860548807917</v>
      </c>
      <c r="AE26" s="7">
        <f t="shared" si="18"/>
        <v>0.533478868915646</v>
      </c>
      <c r="AF26" s="7">
        <f t="shared" si="19"/>
        <v>0.50154327173608</v>
      </c>
      <c r="AG26" s="7">
        <f t="shared" si="20"/>
        <v>0.666646064859462</v>
      </c>
      <c r="AH26" s="7">
        <f t="shared" si="21"/>
        <v>1.16602860646907</v>
      </c>
      <c r="AI26" s="3"/>
      <c r="AJ26" s="19">
        <v>900.32</v>
      </c>
      <c r="AK26" s="20">
        <f t="shared" si="22"/>
        <v>52.1018518518519</v>
      </c>
      <c r="AL26" s="19">
        <v>585.601</v>
      </c>
      <c r="AM26" s="20">
        <f t="shared" si="23"/>
        <v>33.8889467592593</v>
      </c>
      <c r="AN26" s="19">
        <v>621.336</v>
      </c>
      <c r="AO26" s="20">
        <f t="shared" si="24"/>
        <v>35.9569444444444</v>
      </c>
      <c r="AP26" s="19">
        <v>447.17</v>
      </c>
      <c r="AQ26" s="20">
        <f t="shared" si="25"/>
        <v>25.8778935185185</v>
      </c>
      <c r="AR26" s="19">
        <f t="shared" si="26"/>
        <v>422.702702702703</v>
      </c>
      <c r="AS26" s="8">
        <f t="shared" si="27"/>
        <v>24.461961961962</v>
      </c>
      <c r="AT26" s="7">
        <f t="shared" si="28"/>
        <v>0.469502735363763</v>
      </c>
      <c r="AU26" s="7">
        <f t="shared" si="29"/>
        <v>0.721827153134477</v>
      </c>
      <c r="AV26" s="7">
        <f t="shared" si="30"/>
        <v>0.68031258884517</v>
      </c>
      <c r="AW26" s="7">
        <f t="shared" si="31"/>
        <v>0.945284126177299</v>
      </c>
      <c r="AX26" s="1"/>
      <c r="AY26" s="22">
        <v>542.42</v>
      </c>
      <c r="BA26" s="22">
        <v>628.78</v>
      </c>
      <c r="BC26" s="22">
        <v>695.01</v>
      </c>
      <c r="BE26">
        <f t="shared" si="32"/>
        <v>521.333333333333</v>
      </c>
      <c r="BG26">
        <f t="shared" si="33"/>
        <v>0.96112483561324</v>
      </c>
      <c r="BH26">
        <f t="shared" si="34"/>
        <v>0.829118822693682</v>
      </c>
      <c r="BI26">
        <f t="shared" si="35"/>
        <v>0.750109111139888</v>
      </c>
    </row>
    <row r="27" ht="20.4" spans="19:50">
      <c r="S27" s="11"/>
      <c r="AI27" s="3"/>
      <c r="AS27" s="2"/>
      <c r="AX27" s="3"/>
    </row>
    <row r="32" ht="20.4" spans="13:15">
      <c r="M32" s="2"/>
      <c r="N32" s="2"/>
      <c r="O32" s="2"/>
    </row>
    <row r="33" ht="20.4" spans="13:15">
      <c r="M33" s="2"/>
      <c r="N33" s="2"/>
      <c r="O33" s="2"/>
    </row>
    <row r="34" ht="20.4" spans="13:15">
      <c r="M34" s="2"/>
      <c r="N34" s="2"/>
      <c r="O34" s="2"/>
    </row>
    <row r="35" ht="20.4" spans="13:15">
      <c r="M35" s="2"/>
      <c r="N35" s="2"/>
      <c r="O35" s="2"/>
    </row>
    <row r="36" ht="20.4" spans="13:15">
      <c r="M36" s="2"/>
      <c r="N36" s="2"/>
      <c r="O36" s="2"/>
    </row>
    <row r="37" ht="20.4" spans="13:15">
      <c r="M37" s="2"/>
      <c r="N37" s="2"/>
      <c r="O37" s="2"/>
    </row>
    <row r="38" ht="20.4" spans="13:15">
      <c r="M38" s="2"/>
      <c r="N38" s="2"/>
      <c r="O38" s="2"/>
    </row>
    <row r="39" ht="20.4" spans="13:15">
      <c r="M39" s="2"/>
      <c r="N39" s="2"/>
      <c r="O39" s="2"/>
    </row>
    <row r="40" ht="20.4" spans="13:15">
      <c r="M40" s="2"/>
      <c r="N40" s="2"/>
      <c r="O40" s="2"/>
    </row>
    <row r="41" ht="20.4" spans="13:15">
      <c r="M41" s="2"/>
      <c r="N41" s="2"/>
      <c r="O41" s="2"/>
    </row>
  </sheetData>
  <mergeCells count="5">
    <mergeCell ref="E1:R1"/>
    <mergeCell ref="T1:AH1"/>
    <mergeCell ref="AJ1:AW1"/>
    <mergeCell ref="AY1:BK1"/>
    <mergeCell ref="AX2:AX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zoomScale="83" zoomScaleNormal="83" topLeftCell="C14" workbookViewId="0">
      <selection activeCell="M51" sqref="M51"/>
    </sheetView>
  </sheetViews>
  <sheetFormatPr defaultColWidth="9.14285714285714" defaultRowHeight="16.8"/>
  <cols>
    <col min="2" max="4" width="9.14285714285714" customWidth="1"/>
    <col min="5" max="5" width="15.4107142857143" customWidth="1"/>
    <col min="6" max="6" width="15.3214285714286" customWidth="1"/>
    <col min="7" max="7" width="17.8482142857143" customWidth="1"/>
    <col min="8" max="8" width="15.9196428571429" customWidth="1"/>
    <col min="9" max="9" width="17.2410714285714" customWidth="1"/>
    <col min="10" max="10" width="18.6875" customWidth="1"/>
    <col min="11" max="11" width="14.3303571428571" customWidth="1"/>
    <col min="12" max="12" width="16.5178571428571" customWidth="1"/>
    <col min="13" max="13" width="20.1428571428571" customWidth="1"/>
    <col min="14" max="14" width="19.7857142857143" customWidth="1"/>
    <col min="15" max="15" width="17.2589285714286" customWidth="1"/>
    <col min="16" max="16" width="17.2589285714286" hidden="1" customWidth="1"/>
    <col min="17" max="17" width="18" hidden="1" customWidth="1"/>
    <col min="18" max="18" width="16.0625" customWidth="1"/>
    <col min="19" max="19" width="15.7767857142857" customWidth="1"/>
    <col min="20" max="20" width="11.2410714285714" customWidth="1"/>
    <col min="21" max="21" width="13.9732142857143" customWidth="1"/>
    <col min="22" max="22" width="12.3392857142857" customWidth="1"/>
    <col min="23" max="23" width="12.7857142857143"/>
    <col min="24" max="24" width="12.1607142857143" customWidth="1"/>
    <col min="25" max="25" width="11.0714285714286" customWidth="1"/>
    <col min="26" max="26" width="13.0625" customWidth="1"/>
    <col min="27" max="27" width="12.5178571428571" customWidth="1"/>
    <col min="28" max="28" width="14.1517857142857" customWidth="1"/>
    <col min="29" max="29" width="15.2410714285714" customWidth="1"/>
    <col min="30" max="30" width="14.3303571428571" customWidth="1"/>
    <col min="31" max="31" width="19.4107142857143" customWidth="1"/>
    <col min="32" max="32" width="14.1607142857143" customWidth="1"/>
    <col min="33" max="33" width="15.7857142857143" customWidth="1"/>
    <col min="34" max="34" width="17.7767857142857" customWidth="1"/>
    <col min="35" max="35" width="10.5178571428571" customWidth="1"/>
    <col min="36" max="36" width="15.7857142857143" customWidth="1"/>
    <col min="37" max="38" width="14.5178571428571" customWidth="1"/>
    <col min="39" max="40" width="19.9553571428571" customWidth="1"/>
    <col min="41" max="42" width="21.2321428571429" customWidth="1"/>
    <col min="43" max="44" width="18.875" customWidth="1"/>
    <col min="45" max="46" width="20.3214285714286" customWidth="1"/>
    <col min="47" max="47" width="16.6875" customWidth="1"/>
    <col min="48" max="48" width="16.3303571428571" customWidth="1"/>
    <col min="49" max="49" width="19.0535714285714" customWidth="1"/>
  </cols>
  <sheetData>
    <row r="1" ht="21" spans="5:49">
      <c r="E1" s="4" t="s">
        <v>10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8"/>
      <c r="T1" s="3"/>
      <c r="U1" s="12" t="s">
        <v>11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3"/>
      <c r="AJ1" s="12" t="s">
        <v>12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ht="20.4" spans="1:49">
      <c r="A2" s="2" t="s">
        <v>26</v>
      </c>
      <c r="B2" s="2" t="s">
        <v>0</v>
      </c>
      <c r="C2" s="2" t="s">
        <v>1</v>
      </c>
      <c r="D2" s="2" t="s">
        <v>2</v>
      </c>
      <c r="E2" s="2" t="s">
        <v>27</v>
      </c>
      <c r="F2" s="2" t="s">
        <v>23</v>
      </c>
      <c r="G2" s="2" t="s">
        <v>28</v>
      </c>
      <c r="H2" s="2" t="s">
        <v>23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2" t="s">
        <v>19</v>
      </c>
      <c r="O2" s="2" t="s">
        <v>23</v>
      </c>
      <c r="P2" s="2" t="s">
        <v>20</v>
      </c>
      <c r="Q2" s="2" t="s">
        <v>21</v>
      </c>
      <c r="R2" s="2" t="s">
        <v>22</v>
      </c>
      <c r="S2" s="2" t="s">
        <v>23</v>
      </c>
      <c r="T2" s="11"/>
      <c r="U2" s="2" t="s">
        <v>19</v>
      </c>
      <c r="V2" s="2" t="s">
        <v>23</v>
      </c>
      <c r="W2" s="2" t="s">
        <v>20</v>
      </c>
      <c r="X2" s="2" t="s">
        <v>23</v>
      </c>
      <c r="Y2" s="2" t="s">
        <v>21</v>
      </c>
      <c r="Z2" s="2" t="s">
        <v>23</v>
      </c>
      <c r="AA2" s="2" t="s">
        <v>22</v>
      </c>
      <c r="AB2" s="2" t="s">
        <v>23</v>
      </c>
      <c r="AC2" s="2" t="s">
        <v>24</v>
      </c>
      <c r="AD2" s="2" t="s">
        <v>23</v>
      </c>
      <c r="AE2" s="6" t="s">
        <v>15</v>
      </c>
      <c r="AF2" s="6" t="s">
        <v>16</v>
      </c>
      <c r="AG2" s="6" t="s">
        <v>17</v>
      </c>
      <c r="AH2" s="6" t="s">
        <v>18</v>
      </c>
      <c r="AI2" s="3"/>
      <c r="AJ2" s="2" t="s">
        <v>19</v>
      </c>
      <c r="AK2" s="2" t="s">
        <v>23</v>
      </c>
      <c r="AL2" s="2" t="s">
        <v>20</v>
      </c>
      <c r="AM2" s="2" t="s">
        <v>23</v>
      </c>
      <c r="AN2" s="2" t="s">
        <v>21</v>
      </c>
      <c r="AO2" s="2" t="s">
        <v>23</v>
      </c>
      <c r="AP2" s="2" t="s">
        <v>22</v>
      </c>
      <c r="AQ2" s="2" t="s">
        <v>23</v>
      </c>
      <c r="AR2" s="2" t="s">
        <v>24</v>
      </c>
      <c r="AS2" s="2" t="s">
        <v>23</v>
      </c>
      <c r="AT2" s="6" t="s">
        <v>15</v>
      </c>
      <c r="AU2" s="6" t="s">
        <v>16</v>
      </c>
      <c r="AV2" s="6" t="s">
        <v>17</v>
      </c>
      <c r="AW2" s="6" t="s">
        <v>18</v>
      </c>
    </row>
    <row r="3" ht="20.4" spans="20:49">
      <c r="T3" s="11"/>
      <c r="U3" s="8">
        <v>311.45</v>
      </c>
      <c r="V3" s="8">
        <f t="shared" ref="V3:Z3" si="0">U3/748.8*100</f>
        <v>41.5932158119658</v>
      </c>
      <c r="W3" s="8">
        <v>342.086</v>
      </c>
      <c r="X3" s="8">
        <f t="shared" si="0"/>
        <v>45.684561965812</v>
      </c>
      <c r="Y3" s="8">
        <v>336.34</v>
      </c>
      <c r="Z3" s="8">
        <f t="shared" si="0"/>
        <v>44.9172008547009</v>
      </c>
      <c r="AA3" s="8">
        <v>152.62</v>
      </c>
      <c r="AB3" s="8">
        <f t="shared" ref="AB3:AB26" si="1">AA3/748.8*100</f>
        <v>20.3819444444444</v>
      </c>
      <c r="AC3" s="8">
        <f>G49/9.5</f>
        <v>201.368421052632</v>
      </c>
      <c r="AD3" s="8">
        <f t="shared" ref="AD3:AD26" si="2">AC3/748.8*100</f>
        <v>26.8921502474134</v>
      </c>
      <c r="AE3" s="7">
        <f t="shared" ref="AE3:AE26" si="3">AC3/U3</f>
        <v>0.646551359937812</v>
      </c>
      <c r="AF3" s="7">
        <f t="shared" ref="AF3:AF26" si="4">AC3/W3</f>
        <v>0.588648530055692</v>
      </c>
      <c r="AG3" s="7">
        <f t="shared" ref="AG3:AG26" si="5">AC3/Y3</f>
        <v>0.598704944557982</v>
      </c>
      <c r="AH3" s="7">
        <f t="shared" ref="AH3:AH26" si="6">AC3/AA3</f>
        <v>1.31941043803323</v>
      </c>
      <c r="AI3" s="3"/>
      <c r="AJ3" s="19">
        <v>819.58</v>
      </c>
      <c r="AK3" s="20">
        <f t="shared" ref="AK3:AO3" si="7">AJ3/1728*100</f>
        <v>47.4293981481482</v>
      </c>
      <c r="AL3" s="19">
        <v>552.993</v>
      </c>
      <c r="AM3" s="20">
        <f t="shared" si="7"/>
        <v>32.0019097222222</v>
      </c>
      <c r="AN3" s="19">
        <v>574.383</v>
      </c>
      <c r="AO3" s="20">
        <f t="shared" si="7"/>
        <v>33.2397569444445</v>
      </c>
      <c r="AP3" s="19">
        <v>433.84</v>
      </c>
      <c r="AQ3" s="20">
        <f t="shared" ref="AQ3:AQ26" si="8">AP3/1728*100</f>
        <v>25.1064814814815</v>
      </c>
      <c r="AR3" s="19">
        <f>G49/3.7</f>
        <v>517.027027027027</v>
      </c>
      <c r="AS3" s="8">
        <f t="shared" ref="AS3:AS26" si="9">AR3/1728*100</f>
        <v>29.9205455455455</v>
      </c>
      <c r="AT3" s="7">
        <f t="shared" ref="AT3:AT26" si="10">AR3/AJ3</f>
        <v>0.630843879825065</v>
      </c>
      <c r="AU3" s="7">
        <f t="shared" ref="AU3:AU26" si="11">AR3/AL3</f>
        <v>0.934961250914617</v>
      </c>
      <c r="AV3" s="7">
        <f t="shared" ref="AV3:AV26" si="12">AR3/AN3</f>
        <v>0.900143331238959</v>
      </c>
      <c r="AW3" s="7">
        <f t="shared" ref="AW3:AW26" si="13">AR3/AP3</f>
        <v>1.19174586720226</v>
      </c>
    </row>
    <row r="4" ht="20.4" spans="20:49">
      <c r="T4" s="11"/>
      <c r="U4" s="8">
        <v>307.62</v>
      </c>
      <c r="V4" s="8">
        <f t="shared" ref="V4:Z4" si="14">U4/748.8*100</f>
        <v>41.0817307692308</v>
      </c>
      <c r="W4" s="8">
        <v>340.647</v>
      </c>
      <c r="X4" s="8">
        <f t="shared" si="14"/>
        <v>45.4923878205128</v>
      </c>
      <c r="Y4" s="8">
        <v>336.957</v>
      </c>
      <c r="Z4" s="8">
        <f t="shared" si="14"/>
        <v>44.9995993589744</v>
      </c>
      <c r="AA4" s="8">
        <v>84.73</v>
      </c>
      <c r="AB4" s="8">
        <f t="shared" si="1"/>
        <v>11.315438034188</v>
      </c>
      <c r="AC4" s="8">
        <f>G48/9.5</f>
        <v>201.894736842105</v>
      </c>
      <c r="AD4" s="8">
        <f t="shared" si="2"/>
        <v>26.9624381466487</v>
      </c>
      <c r="AE4" s="7">
        <f t="shared" si="3"/>
        <v>0.656312128086943</v>
      </c>
      <c r="AF4" s="7">
        <f t="shared" si="4"/>
        <v>0.592680213951995</v>
      </c>
      <c r="AG4" s="7">
        <f t="shared" si="5"/>
        <v>0.599170626644068</v>
      </c>
      <c r="AH4" s="7">
        <f t="shared" si="6"/>
        <v>2.38280109574065</v>
      </c>
      <c r="AI4" s="3"/>
      <c r="AJ4" s="19">
        <v>824.86</v>
      </c>
      <c r="AK4" s="20">
        <f t="shared" ref="AK4:AO4" si="15">AJ4/1728*100</f>
        <v>47.7349537037037</v>
      </c>
      <c r="AL4" s="19">
        <v>538.626</v>
      </c>
      <c r="AM4" s="20">
        <f t="shared" si="15"/>
        <v>31.1704861111111</v>
      </c>
      <c r="AN4" s="19">
        <v>574.11</v>
      </c>
      <c r="AO4" s="20">
        <f t="shared" si="15"/>
        <v>33.2239583333333</v>
      </c>
      <c r="AP4" s="19">
        <v>400.99</v>
      </c>
      <c r="AQ4" s="20">
        <f t="shared" si="8"/>
        <v>23.2054398148148</v>
      </c>
      <c r="AR4" s="19">
        <f>G48/3.7</f>
        <v>518.378378378378</v>
      </c>
      <c r="AS4" s="8">
        <f t="shared" si="9"/>
        <v>29.9987487487487</v>
      </c>
      <c r="AT4" s="7">
        <f t="shared" si="10"/>
        <v>0.628444073392307</v>
      </c>
      <c r="AU4" s="7">
        <f t="shared" si="11"/>
        <v>0.962408755571358</v>
      </c>
      <c r="AV4" s="7">
        <f t="shared" si="12"/>
        <v>0.902925185728133</v>
      </c>
      <c r="AW4" s="7">
        <f t="shared" si="13"/>
        <v>1.29274639860939</v>
      </c>
    </row>
    <row r="5" ht="20.4" spans="20:49">
      <c r="T5" s="11"/>
      <c r="U5" s="8">
        <v>313.45</v>
      </c>
      <c r="V5" s="8">
        <f t="shared" ref="V5:Z5" si="16">U5/748.8*100</f>
        <v>41.8603098290598</v>
      </c>
      <c r="W5" s="8">
        <v>341.762</v>
      </c>
      <c r="X5" s="8">
        <f t="shared" si="16"/>
        <v>45.6412927350427</v>
      </c>
      <c r="Y5" s="8">
        <v>336.25</v>
      </c>
      <c r="Z5" s="8">
        <f t="shared" si="16"/>
        <v>44.9051816239316</v>
      </c>
      <c r="AA5" s="8">
        <v>159.34</v>
      </c>
      <c r="AB5" s="8">
        <f t="shared" si="1"/>
        <v>21.2793803418803</v>
      </c>
      <c r="AC5" s="8">
        <f>G47/9.5</f>
        <v>201.157894736842</v>
      </c>
      <c r="AD5" s="8">
        <f t="shared" si="2"/>
        <v>26.8640350877193</v>
      </c>
      <c r="AE5" s="7">
        <f t="shared" si="3"/>
        <v>0.641754329994711</v>
      </c>
      <c r="AF5" s="7">
        <f t="shared" si="4"/>
        <v>0.588590582735477</v>
      </c>
      <c r="AG5" s="7">
        <f t="shared" si="5"/>
        <v>0.598239092154177</v>
      </c>
      <c r="AH5" s="7">
        <f t="shared" si="6"/>
        <v>1.26244442535987</v>
      </c>
      <c r="AI5" s="3"/>
      <c r="AJ5" s="19">
        <v>818</v>
      </c>
      <c r="AK5" s="20">
        <f t="shared" ref="AK5:AO5" si="17">AJ5/1728*100</f>
        <v>47.337962962963</v>
      </c>
      <c r="AL5" s="19">
        <v>523.719</v>
      </c>
      <c r="AM5" s="20">
        <f t="shared" si="17"/>
        <v>30.3078125</v>
      </c>
      <c r="AN5" s="19">
        <v>581.915</v>
      </c>
      <c r="AO5" s="20">
        <f t="shared" si="17"/>
        <v>33.6756365740741</v>
      </c>
      <c r="AP5" s="19">
        <v>510.59</v>
      </c>
      <c r="AQ5" s="20">
        <f t="shared" si="8"/>
        <v>29.5480324074074</v>
      </c>
      <c r="AR5" s="19">
        <f>G47/3.7</f>
        <v>516.486486486486</v>
      </c>
      <c r="AS5" s="8">
        <f t="shared" si="9"/>
        <v>29.8892642642643</v>
      </c>
      <c r="AT5" s="7">
        <f t="shared" si="10"/>
        <v>0.631401572721866</v>
      </c>
      <c r="AU5" s="7">
        <f t="shared" si="11"/>
        <v>0.986190087597522</v>
      </c>
      <c r="AV5" s="7">
        <f t="shared" si="12"/>
        <v>0.887563452542874</v>
      </c>
      <c r="AW5" s="7">
        <f t="shared" si="13"/>
        <v>1.01154837832015</v>
      </c>
    </row>
    <row r="6" ht="20.4" spans="20:49">
      <c r="T6" s="11"/>
      <c r="U6" s="8">
        <v>308.47</v>
      </c>
      <c r="V6" s="8">
        <f t="shared" ref="V6:Z6" si="18">U6/748.8*100</f>
        <v>41.1952457264957</v>
      </c>
      <c r="W6" s="8">
        <v>341.143</v>
      </c>
      <c r="X6" s="8">
        <f t="shared" si="18"/>
        <v>45.5586271367521</v>
      </c>
      <c r="Y6" s="8">
        <v>336.553</v>
      </c>
      <c r="Z6" s="8">
        <f t="shared" si="18"/>
        <v>44.9456463675214</v>
      </c>
      <c r="AA6" s="8">
        <v>138.2</v>
      </c>
      <c r="AB6" s="8">
        <f t="shared" si="1"/>
        <v>18.4561965811966</v>
      </c>
      <c r="AC6" s="8">
        <f>G46/9.5</f>
        <v>199.263157894737</v>
      </c>
      <c r="AD6" s="8">
        <f t="shared" si="2"/>
        <v>26.6109986504723</v>
      </c>
      <c r="AE6" s="7">
        <f t="shared" si="3"/>
        <v>0.645972567493555</v>
      </c>
      <c r="AF6" s="7">
        <f t="shared" si="4"/>
        <v>0.584104489597432</v>
      </c>
      <c r="AG6" s="7">
        <f t="shared" si="5"/>
        <v>0.592070663148856</v>
      </c>
      <c r="AH6" s="7">
        <f t="shared" si="6"/>
        <v>1.44184629446264</v>
      </c>
      <c r="AI6" s="3"/>
      <c r="AJ6" s="19">
        <v>817.34</v>
      </c>
      <c r="AK6" s="20">
        <f t="shared" ref="AK6:AO6" si="19">AJ6/1728*100</f>
        <v>47.2997685185185</v>
      </c>
      <c r="AL6" s="19">
        <v>553.211</v>
      </c>
      <c r="AM6" s="20">
        <f t="shared" si="19"/>
        <v>32.014525462963</v>
      </c>
      <c r="AN6" s="19">
        <v>579.48</v>
      </c>
      <c r="AO6" s="20">
        <f t="shared" si="19"/>
        <v>33.5347222222222</v>
      </c>
      <c r="AP6" s="19">
        <v>446.62</v>
      </c>
      <c r="AQ6" s="20">
        <f t="shared" si="8"/>
        <v>25.8460648148148</v>
      </c>
      <c r="AR6" s="19">
        <f>G46/3.7</f>
        <v>511.621621621622</v>
      </c>
      <c r="AS6" s="8">
        <f t="shared" si="9"/>
        <v>29.6077327327327</v>
      </c>
      <c r="AT6" s="7">
        <f t="shared" si="10"/>
        <v>0.625959357943599</v>
      </c>
      <c r="AU6" s="7">
        <f t="shared" si="11"/>
        <v>0.924821852099148</v>
      </c>
      <c r="AV6" s="7">
        <f t="shared" si="12"/>
        <v>0.882897807726965</v>
      </c>
      <c r="AW6" s="7">
        <f t="shared" si="13"/>
        <v>1.14554122435543</v>
      </c>
    </row>
    <row r="7" ht="20.4" spans="20:49">
      <c r="T7" s="11"/>
      <c r="U7" s="8">
        <v>307.66</v>
      </c>
      <c r="V7" s="8">
        <f t="shared" ref="V7:Z7" si="20">U7/748.8*100</f>
        <v>41.0870726495727</v>
      </c>
      <c r="W7" s="8">
        <v>337.971</v>
      </c>
      <c r="X7" s="8">
        <f t="shared" si="20"/>
        <v>45.135016025641</v>
      </c>
      <c r="Y7" s="8">
        <v>336.906</v>
      </c>
      <c r="Z7" s="8">
        <f t="shared" si="20"/>
        <v>44.9927884615385</v>
      </c>
      <c r="AA7" s="8">
        <v>30.91</v>
      </c>
      <c r="AB7" s="8">
        <f t="shared" si="1"/>
        <v>4.12793803418803</v>
      </c>
      <c r="AC7" s="8">
        <f>G45/9.5</f>
        <v>200.842105263158</v>
      </c>
      <c r="AD7" s="8">
        <f t="shared" si="2"/>
        <v>26.8218623481781</v>
      </c>
      <c r="AE7" s="7">
        <f t="shared" si="3"/>
        <v>0.652805386670864</v>
      </c>
      <c r="AF7" s="7">
        <f t="shared" si="4"/>
        <v>0.59425839868852</v>
      </c>
      <c r="AG7" s="7">
        <f t="shared" si="5"/>
        <v>0.596136920277935</v>
      </c>
      <c r="AH7" s="7">
        <f t="shared" si="6"/>
        <v>6.49764171022834</v>
      </c>
      <c r="AI7" s="3"/>
      <c r="AJ7" s="19">
        <v>812.27</v>
      </c>
      <c r="AK7" s="20">
        <f t="shared" ref="AK7:AO7" si="21">AJ7/1728*100</f>
        <v>47.0063657407407</v>
      </c>
      <c r="AL7" s="19">
        <v>546.996</v>
      </c>
      <c r="AM7" s="20">
        <f t="shared" si="21"/>
        <v>31.6548611111111</v>
      </c>
      <c r="AN7" s="19">
        <v>576.595</v>
      </c>
      <c r="AO7" s="20">
        <f t="shared" si="21"/>
        <v>33.3677662037037</v>
      </c>
      <c r="AP7" s="19">
        <v>164.86</v>
      </c>
      <c r="AQ7" s="20">
        <f t="shared" si="8"/>
        <v>9.54050925925926</v>
      </c>
      <c r="AR7" s="19">
        <f>G45/3.7</f>
        <v>515.675675675676</v>
      </c>
      <c r="AS7" s="8">
        <f t="shared" si="9"/>
        <v>29.8423423423423</v>
      </c>
      <c r="AT7" s="7">
        <f t="shared" si="10"/>
        <v>0.634857468176438</v>
      </c>
      <c r="AU7" s="7">
        <f t="shared" si="11"/>
        <v>0.942741218721299</v>
      </c>
      <c r="AV7" s="7">
        <f t="shared" si="12"/>
        <v>0.894346422836958</v>
      </c>
      <c r="AW7" s="7">
        <f t="shared" si="13"/>
        <v>3.12796115295205</v>
      </c>
    </row>
    <row r="8" ht="20.4" spans="20:49">
      <c r="T8" s="11"/>
      <c r="U8" s="8">
        <v>310.95</v>
      </c>
      <c r="V8" s="8">
        <f t="shared" ref="V8:Z8" si="22">U8/748.8*100</f>
        <v>41.5264423076923</v>
      </c>
      <c r="W8" s="8">
        <v>341.196</v>
      </c>
      <c r="X8" s="8">
        <f t="shared" si="22"/>
        <v>45.5657051282051</v>
      </c>
      <c r="Y8" s="8">
        <v>336.548</v>
      </c>
      <c r="Z8" s="8">
        <f t="shared" si="22"/>
        <v>44.9449786324786</v>
      </c>
      <c r="AA8" s="8">
        <v>87.23</v>
      </c>
      <c r="AB8" s="8">
        <f t="shared" si="1"/>
        <v>11.6493055555556</v>
      </c>
      <c r="AC8" s="8">
        <f>G44/9.5</f>
        <v>199.684210526316</v>
      </c>
      <c r="AD8" s="8">
        <f t="shared" si="2"/>
        <v>26.6672289698606</v>
      </c>
      <c r="AE8" s="7">
        <f t="shared" si="3"/>
        <v>0.6421746599978</v>
      </c>
      <c r="AF8" s="7">
        <f t="shared" si="4"/>
        <v>0.585247806323391</v>
      </c>
      <c r="AG8" s="7">
        <f t="shared" si="5"/>
        <v>0.593330551737986</v>
      </c>
      <c r="AH8" s="7">
        <f t="shared" si="6"/>
        <v>2.28916898459608</v>
      </c>
      <c r="AI8" s="3"/>
      <c r="AJ8" s="19">
        <v>812.01</v>
      </c>
      <c r="AK8" s="20">
        <f t="shared" ref="AK8:AO8" si="23">AJ8/1728*100</f>
        <v>46.9913194444444</v>
      </c>
      <c r="AL8" s="19">
        <v>548.177</v>
      </c>
      <c r="AM8" s="20">
        <f t="shared" si="23"/>
        <v>31.7232060185185</v>
      </c>
      <c r="AN8" s="19">
        <v>578.186</v>
      </c>
      <c r="AO8" s="20">
        <f t="shared" si="23"/>
        <v>33.459837962963</v>
      </c>
      <c r="AP8" s="19">
        <v>408.84</v>
      </c>
      <c r="AQ8" s="20">
        <f t="shared" si="8"/>
        <v>23.6597222222222</v>
      </c>
      <c r="AR8" s="19">
        <f>G44/3.7</f>
        <v>512.702702702703</v>
      </c>
      <c r="AS8" s="8">
        <f t="shared" si="9"/>
        <v>29.6702952952953</v>
      </c>
      <c r="AT8" s="7">
        <f t="shared" si="10"/>
        <v>0.631399493482473</v>
      </c>
      <c r="AU8" s="7">
        <f t="shared" si="11"/>
        <v>0.935286782741163</v>
      </c>
      <c r="AV8" s="7">
        <f t="shared" si="12"/>
        <v>0.88674354395074</v>
      </c>
      <c r="AW8" s="7">
        <f t="shared" si="13"/>
        <v>1.25404241929044</v>
      </c>
    </row>
    <row r="9" ht="20.4" spans="20:49">
      <c r="T9" s="11"/>
      <c r="U9" s="8">
        <v>311.2</v>
      </c>
      <c r="V9" s="8">
        <f t="shared" ref="V9:Z9" si="24">U9/748.8*100</f>
        <v>41.5598290598291</v>
      </c>
      <c r="W9" s="8">
        <v>340.699</v>
      </c>
      <c r="X9" s="8">
        <f t="shared" si="24"/>
        <v>45.4993322649573</v>
      </c>
      <c r="Y9" s="8">
        <v>336.897</v>
      </c>
      <c r="Z9" s="8">
        <f t="shared" si="24"/>
        <v>44.9915865384615</v>
      </c>
      <c r="AA9" s="8">
        <v>85.78</v>
      </c>
      <c r="AB9" s="8">
        <f t="shared" si="1"/>
        <v>11.4556623931624</v>
      </c>
      <c r="AC9" s="8">
        <f>G43/9.5</f>
        <v>197.894736842105</v>
      </c>
      <c r="AD9" s="8">
        <f t="shared" si="2"/>
        <v>26.4282501124606</v>
      </c>
      <c r="AE9" s="7">
        <f t="shared" si="3"/>
        <v>0.635908537410364</v>
      </c>
      <c r="AF9" s="7">
        <f t="shared" si="4"/>
        <v>0.580849186061906</v>
      </c>
      <c r="AG9" s="7">
        <f t="shared" si="5"/>
        <v>0.587404271460136</v>
      </c>
      <c r="AH9" s="7">
        <f t="shared" si="6"/>
        <v>2.30700322735026</v>
      </c>
      <c r="AI9" s="3"/>
      <c r="AJ9" s="19">
        <v>813.41</v>
      </c>
      <c r="AK9" s="20">
        <f t="shared" ref="AK9:AO9" si="25">AJ9/1728*100</f>
        <v>47.072337962963</v>
      </c>
      <c r="AL9" s="19">
        <v>534.492</v>
      </c>
      <c r="AM9" s="20">
        <f t="shared" si="25"/>
        <v>30.93125</v>
      </c>
      <c r="AN9" s="19">
        <v>583.056</v>
      </c>
      <c r="AO9" s="20">
        <f t="shared" si="25"/>
        <v>33.7416666666667</v>
      </c>
      <c r="AP9" s="19">
        <v>207.22</v>
      </c>
      <c r="AQ9" s="20">
        <f t="shared" si="8"/>
        <v>11.9918981481481</v>
      </c>
      <c r="AR9" s="19">
        <f>G43/3.7</f>
        <v>508.108108108108</v>
      </c>
      <c r="AS9" s="8">
        <f t="shared" si="9"/>
        <v>29.4044044044044</v>
      </c>
      <c r="AT9" s="7">
        <f t="shared" si="10"/>
        <v>0.624664201458192</v>
      </c>
      <c r="AU9" s="7">
        <f t="shared" si="11"/>
        <v>0.950637442858093</v>
      </c>
      <c r="AV9" s="7">
        <f t="shared" si="12"/>
        <v>0.871456786497537</v>
      </c>
      <c r="AW9" s="7">
        <f t="shared" si="13"/>
        <v>2.45202252730484</v>
      </c>
    </row>
    <row r="10" ht="20.4" spans="20:49">
      <c r="T10" s="11"/>
      <c r="U10" s="8">
        <v>310.01</v>
      </c>
      <c r="V10" s="8">
        <f t="shared" ref="V10:Z10" si="26">U10/748.8*100</f>
        <v>41.4009081196581</v>
      </c>
      <c r="W10" s="8">
        <v>340.232</v>
      </c>
      <c r="X10" s="8">
        <f t="shared" si="26"/>
        <v>45.4369658119658</v>
      </c>
      <c r="Y10" s="8">
        <v>336.671</v>
      </c>
      <c r="Z10" s="8">
        <f t="shared" si="26"/>
        <v>44.9614049145299</v>
      </c>
      <c r="AA10" s="8">
        <v>86.3</v>
      </c>
      <c r="AB10" s="8">
        <f t="shared" si="1"/>
        <v>11.5251068376068</v>
      </c>
      <c r="AC10" s="8">
        <f>G42/9.5</f>
        <v>193.789473684211</v>
      </c>
      <c r="AD10" s="8">
        <f t="shared" si="2"/>
        <v>25.8800044984256</v>
      </c>
      <c r="AE10" s="7">
        <f t="shared" si="3"/>
        <v>0.625107169717785</v>
      </c>
      <c r="AF10" s="7">
        <f t="shared" si="4"/>
        <v>0.569580385396466</v>
      </c>
      <c r="AG10" s="7">
        <f t="shared" si="5"/>
        <v>0.57560488929611</v>
      </c>
      <c r="AH10" s="7">
        <f t="shared" si="6"/>
        <v>2.24553271939989</v>
      </c>
      <c r="AI10" s="3"/>
      <c r="AJ10" s="19">
        <v>811.7</v>
      </c>
      <c r="AK10" s="20">
        <f t="shared" ref="AK10:AO10" si="27">AJ10/1728*100</f>
        <v>46.9733796296296</v>
      </c>
      <c r="AL10" s="19">
        <v>532.086</v>
      </c>
      <c r="AM10" s="20">
        <f t="shared" si="27"/>
        <v>30.7920138888889</v>
      </c>
      <c r="AN10" s="19">
        <v>583.448</v>
      </c>
      <c r="AO10" s="20">
        <f t="shared" si="27"/>
        <v>33.7643518518518</v>
      </c>
      <c r="AP10" s="19">
        <v>409.54</v>
      </c>
      <c r="AQ10" s="20">
        <f t="shared" si="8"/>
        <v>23.7002314814815</v>
      </c>
      <c r="AR10" s="19">
        <f>G42/3.7</f>
        <v>497.567567567568</v>
      </c>
      <c r="AS10" s="8">
        <f t="shared" si="9"/>
        <v>28.7944194194194</v>
      </c>
      <c r="AT10" s="7">
        <f t="shared" si="10"/>
        <v>0.612994416123651</v>
      </c>
      <c r="AU10" s="7">
        <f t="shared" si="11"/>
        <v>0.935126215625984</v>
      </c>
      <c r="AV10" s="7">
        <f t="shared" si="12"/>
        <v>0.85280533580982</v>
      </c>
      <c r="AW10" s="7">
        <f t="shared" si="13"/>
        <v>1.2149425393553</v>
      </c>
    </row>
    <row r="11" ht="20.4" spans="20:49">
      <c r="T11" s="11"/>
      <c r="U11" s="8">
        <v>310.24</v>
      </c>
      <c r="V11" s="8">
        <f t="shared" ref="V11:Z11" si="28">U11/748.8*100</f>
        <v>41.4316239316239</v>
      </c>
      <c r="W11" s="8">
        <v>339.195</v>
      </c>
      <c r="X11" s="8">
        <f t="shared" si="28"/>
        <v>45.2984775641026</v>
      </c>
      <c r="Y11" s="8">
        <v>336.86</v>
      </c>
      <c r="Z11" s="8">
        <f t="shared" si="28"/>
        <v>44.9866452991453</v>
      </c>
      <c r="AA11" s="8">
        <v>85.23</v>
      </c>
      <c r="AB11" s="8">
        <f t="shared" si="1"/>
        <v>11.3822115384615</v>
      </c>
      <c r="AC11" s="8">
        <f>G41/9.5</f>
        <v>192.947368421053</v>
      </c>
      <c r="AD11" s="8">
        <f t="shared" si="2"/>
        <v>25.7675438596491</v>
      </c>
      <c r="AE11" s="7">
        <f t="shared" si="3"/>
        <v>0.621929372166879</v>
      </c>
      <c r="AF11" s="7">
        <f t="shared" si="4"/>
        <v>0.568839070213454</v>
      </c>
      <c r="AG11" s="7">
        <f t="shared" si="5"/>
        <v>0.572782070952481</v>
      </c>
      <c r="AH11" s="7">
        <f t="shared" si="6"/>
        <v>2.2638433464866</v>
      </c>
      <c r="AI11" s="3"/>
      <c r="AJ11" s="19">
        <v>834.8</v>
      </c>
      <c r="AK11" s="20">
        <f t="shared" ref="AK11:AO11" si="29">AJ11/1728*100</f>
        <v>48.3101851851852</v>
      </c>
      <c r="AL11" s="19">
        <v>532.736</v>
      </c>
      <c r="AM11" s="20">
        <f t="shared" si="29"/>
        <v>30.8296296296296</v>
      </c>
      <c r="AN11" s="19">
        <v>583.328</v>
      </c>
      <c r="AO11" s="20">
        <f t="shared" si="29"/>
        <v>33.7574074074074</v>
      </c>
      <c r="AP11" s="19">
        <v>409.87</v>
      </c>
      <c r="AQ11" s="20">
        <f t="shared" si="8"/>
        <v>23.7193287037037</v>
      </c>
      <c r="AR11" s="19">
        <f>G41/3.7</f>
        <v>495.405405405405</v>
      </c>
      <c r="AS11" s="8">
        <f t="shared" si="9"/>
        <v>28.6692942942943</v>
      </c>
      <c r="AT11" s="7">
        <f t="shared" si="10"/>
        <v>0.593442028516298</v>
      </c>
      <c r="AU11" s="7">
        <f t="shared" si="11"/>
        <v>0.92992665298648</v>
      </c>
      <c r="AV11" s="7">
        <f t="shared" si="12"/>
        <v>0.849274174058858</v>
      </c>
      <c r="AW11" s="7">
        <f t="shared" si="13"/>
        <v>1.2086891097309</v>
      </c>
    </row>
    <row r="12" ht="20.4" spans="20:49">
      <c r="T12" s="11"/>
      <c r="U12" s="8">
        <v>312.12</v>
      </c>
      <c r="V12" s="8">
        <f t="shared" ref="V12:Z12" si="30">U12/748.8*100</f>
        <v>41.6826923076923</v>
      </c>
      <c r="W12" s="8">
        <v>338.666</v>
      </c>
      <c r="X12" s="8">
        <f t="shared" si="30"/>
        <v>45.2278311965812</v>
      </c>
      <c r="Y12" s="8">
        <v>336.937</v>
      </c>
      <c r="Z12" s="8">
        <f t="shared" si="30"/>
        <v>44.9969284188034</v>
      </c>
      <c r="AA12" s="8">
        <v>145.08</v>
      </c>
      <c r="AB12" s="8">
        <f t="shared" si="1"/>
        <v>19.375</v>
      </c>
      <c r="AC12" s="8">
        <f>G40/9.5</f>
        <v>183.368421052632</v>
      </c>
      <c r="AD12" s="8">
        <f t="shared" si="2"/>
        <v>24.4883040935673</v>
      </c>
      <c r="AE12" s="7">
        <f t="shared" si="3"/>
        <v>0.587493339268972</v>
      </c>
      <c r="AF12" s="7">
        <f t="shared" si="4"/>
        <v>0.541443253980711</v>
      </c>
      <c r="AG12" s="7">
        <f t="shared" si="5"/>
        <v>0.54422168254787</v>
      </c>
      <c r="AH12" s="7">
        <f t="shared" si="6"/>
        <v>1.26391246934541</v>
      </c>
      <c r="AI12" s="3"/>
      <c r="AJ12" s="19">
        <v>817.18</v>
      </c>
      <c r="AK12" s="20">
        <f t="shared" ref="AK12:AO12" si="31">AJ12/1728*100</f>
        <v>47.2905092592593</v>
      </c>
      <c r="AL12" s="19">
        <v>548.763</v>
      </c>
      <c r="AM12" s="20">
        <f t="shared" si="31"/>
        <v>31.7571180555556</v>
      </c>
      <c r="AN12" s="19">
        <v>577.029</v>
      </c>
      <c r="AO12" s="20">
        <f t="shared" si="31"/>
        <v>33.3928819444444</v>
      </c>
      <c r="AP12" s="19">
        <v>455.18</v>
      </c>
      <c r="AQ12" s="20">
        <f t="shared" si="8"/>
        <v>26.3414351851852</v>
      </c>
      <c r="AR12" s="19">
        <f>G40/3.7</f>
        <v>470.810810810811</v>
      </c>
      <c r="AS12" s="8">
        <f t="shared" si="9"/>
        <v>27.245995995996</v>
      </c>
      <c r="AT12" s="7">
        <f t="shared" si="10"/>
        <v>0.576140887944897</v>
      </c>
      <c r="AU12" s="7">
        <f t="shared" si="11"/>
        <v>0.857949261905068</v>
      </c>
      <c r="AV12" s="7">
        <f t="shared" si="12"/>
        <v>0.815922268743531</v>
      </c>
      <c r="AW12" s="7">
        <f t="shared" si="13"/>
        <v>1.03433984535966</v>
      </c>
    </row>
    <row r="13" ht="20.4" spans="20:49">
      <c r="T13" s="11"/>
      <c r="U13" s="8">
        <v>307.63</v>
      </c>
      <c r="V13" s="8">
        <f t="shared" ref="V13:Z13" si="32">U13/748.8*100</f>
        <v>41.0830662393162</v>
      </c>
      <c r="W13" s="8">
        <v>338.424</v>
      </c>
      <c r="X13" s="8">
        <f t="shared" si="32"/>
        <v>45.1955128205128</v>
      </c>
      <c r="Y13" s="8">
        <v>337.037</v>
      </c>
      <c r="Z13" s="8">
        <f t="shared" si="32"/>
        <v>45.0102831196581</v>
      </c>
      <c r="AA13" s="8">
        <v>157.78</v>
      </c>
      <c r="AB13" s="8">
        <f t="shared" si="1"/>
        <v>21.071047008547</v>
      </c>
      <c r="AC13" s="8">
        <f>G39/9.5</f>
        <v>181.368421052632</v>
      </c>
      <c r="AD13" s="8">
        <f t="shared" si="2"/>
        <v>24.2212100764732</v>
      </c>
      <c r="AE13" s="7">
        <f t="shared" si="3"/>
        <v>0.58956675568908</v>
      </c>
      <c r="AF13" s="7">
        <f t="shared" si="4"/>
        <v>0.535920682494834</v>
      </c>
      <c r="AG13" s="7">
        <f t="shared" si="5"/>
        <v>0.538126143576615</v>
      </c>
      <c r="AH13" s="7">
        <f t="shared" si="6"/>
        <v>1.14950197143257</v>
      </c>
      <c r="AI13" s="3"/>
      <c r="AJ13" s="19">
        <v>822.25</v>
      </c>
      <c r="AK13" s="20">
        <f t="shared" ref="AK13:AO13" si="33">AJ13/1728*100</f>
        <v>47.583912037037</v>
      </c>
      <c r="AL13" s="19">
        <v>550.359</v>
      </c>
      <c r="AM13" s="20">
        <f t="shared" si="33"/>
        <v>31.8494791666667</v>
      </c>
      <c r="AN13" s="19">
        <v>577.023</v>
      </c>
      <c r="AO13" s="20">
        <f t="shared" si="33"/>
        <v>33.3925347222222</v>
      </c>
      <c r="AP13" s="19">
        <v>454.61</v>
      </c>
      <c r="AQ13" s="20">
        <f t="shared" si="8"/>
        <v>26.3084490740741</v>
      </c>
      <c r="AR13" s="19">
        <f>G39/3.7</f>
        <v>465.675675675676</v>
      </c>
      <c r="AS13" s="8">
        <f t="shared" si="9"/>
        <v>26.9488238238238</v>
      </c>
      <c r="AT13" s="7">
        <f t="shared" si="10"/>
        <v>0.566343175038827</v>
      </c>
      <c r="AU13" s="7">
        <f t="shared" si="11"/>
        <v>0.846130754063576</v>
      </c>
      <c r="AV13" s="7">
        <f t="shared" si="12"/>
        <v>0.807031393333846</v>
      </c>
      <c r="AW13" s="7">
        <f t="shared" si="13"/>
        <v>1.02434103006022</v>
      </c>
    </row>
    <row r="14" ht="20.4" spans="20:49">
      <c r="T14" s="11"/>
      <c r="U14" s="8">
        <v>307.7</v>
      </c>
      <c r="V14" s="8">
        <f t="shared" ref="V14:Z14" si="34">U14/748.8*100</f>
        <v>41.0924145299145</v>
      </c>
      <c r="W14" s="8">
        <v>337.976</v>
      </c>
      <c r="X14" s="8">
        <f t="shared" si="34"/>
        <v>45.1356837606838</v>
      </c>
      <c r="Y14" s="8">
        <v>336.853</v>
      </c>
      <c r="Z14" s="8">
        <f t="shared" si="34"/>
        <v>44.9857104700855</v>
      </c>
      <c r="AA14" s="8">
        <v>147.55</v>
      </c>
      <c r="AB14" s="8">
        <f t="shared" si="1"/>
        <v>19.7048611111111</v>
      </c>
      <c r="AC14" s="8">
        <f>G38/9.5</f>
        <v>184.105263157895</v>
      </c>
      <c r="AD14" s="8">
        <f t="shared" si="2"/>
        <v>24.5867071524966</v>
      </c>
      <c r="AE14" s="7">
        <f t="shared" si="3"/>
        <v>0.598327147084481</v>
      </c>
      <c r="AF14" s="7">
        <f t="shared" si="4"/>
        <v>0.544728806654599</v>
      </c>
      <c r="AG14" s="7">
        <f t="shared" si="5"/>
        <v>0.546544822690891</v>
      </c>
      <c r="AH14" s="7">
        <f t="shared" si="6"/>
        <v>1.24774831011789</v>
      </c>
      <c r="AI14" s="3"/>
      <c r="AJ14" s="19">
        <v>831.8</v>
      </c>
      <c r="AK14" s="20">
        <f t="shared" ref="AK14:AO14" si="35">AJ14/1728*100</f>
        <v>48.1365740740741</v>
      </c>
      <c r="AL14" s="19">
        <v>548.657</v>
      </c>
      <c r="AM14" s="20">
        <f t="shared" si="35"/>
        <v>31.7509837962963</v>
      </c>
      <c r="AN14" s="19">
        <v>579.612</v>
      </c>
      <c r="AO14" s="20">
        <f t="shared" si="35"/>
        <v>33.5423611111111</v>
      </c>
      <c r="AP14" s="19">
        <v>454.13</v>
      </c>
      <c r="AQ14" s="20">
        <f t="shared" si="8"/>
        <v>26.2806712962963</v>
      </c>
      <c r="AR14" s="19">
        <f>G38/3.7</f>
        <v>472.702702702703</v>
      </c>
      <c r="AS14" s="8">
        <f t="shared" si="9"/>
        <v>27.3554804804805</v>
      </c>
      <c r="AT14" s="7">
        <f t="shared" si="10"/>
        <v>0.568288894809693</v>
      </c>
      <c r="AU14" s="7">
        <f t="shared" si="11"/>
        <v>0.861563240244274</v>
      </c>
      <c r="AV14" s="7">
        <f t="shared" si="12"/>
        <v>0.815550234816917</v>
      </c>
      <c r="AW14" s="7">
        <f t="shared" si="13"/>
        <v>1.040897326102</v>
      </c>
    </row>
    <row r="15" ht="20.4" spans="20:49">
      <c r="T15" s="11"/>
      <c r="U15" s="8">
        <v>307.36</v>
      </c>
      <c r="V15" s="8">
        <f t="shared" ref="V15:Z15" si="36">U15/748.8*100</f>
        <v>41.0470085470086</v>
      </c>
      <c r="W15" s="8">
        <v>337.53</v>
      </c>
      <c r="X15" s="8">
        <f t="shared" si="36"/>
        <v>45.0761217948718</v>
      </c>
      <c r="Y15" s="8">
        <v>336.792</v>
      </c>
      <c r="Z15" s="8">
        <f t="shared" si="36"/>
        <v>44.9775641025641</v>
      </c>
      <c r="AA15" s="8">
        <v>85.15</v>
      </c>
      <c r="AB15" s="8">
        <f t="shared" si="1"/>
        <v>11.3715277777778</v>
      </c>
      <c r="AC15" s="8">
        <f>G37/9.5</f>
        <v>183.263157894737</v>
      </c>
      <c r="AD15" s="8">
        <f t="shared" si="2"/>
        <v>24.4742465137202</v>
      </c>
      <c r="AE15" s="7">
        <f t="shared" si="3"/>
        <v>0.596249212307187</v>
      </c>
      <c r="AF15" s="7">
        <f t="shared" si="4"/>
        <v>0.542953686767804</v>
      </c>
      <c r="AG15" s="7">
        <f t="shared" si="5"/>
        <v>0.544143441336899</v>
      </c>
      <c r="AH15" s="7">
        <f t="shared" si="6"/>
        <v>2.15223908273326</v>
      </c>
      <c r="AI15" s="3"/>
      <c r="AJ15" s="19">
        <v>829.4</v>
      </c>
      <c r="AK15" s="20">
        <f t="shared" ref="AK15:AO15" si="37">AJ15/1728*100</f>
        <v>47.9976851851852</v>
      </c>
      <c r="AL15" s="19">
        <v>549.725</v>
      </c>
      <c r="AM15" s="20">
        <f t="shared" si="37"/>
        <v>31.8127893518519</v>
      </c>
      <c r="AN15" s="19">
        <v>623.894</v>
      </c>
      <c r="AO15" s="20">
        <f t="shared" si="37"/>
        <v>36.1049768518519</v>
      </c>
      <c r="AP15" s="19">
        <v>408.28</v>
      </c>
      <c r="AQ15" s="20">
        <f t="shared" si="8"/>
        <v>23.6273148148148</v>
      </c>
      <c r="AR15" s="19">
        <f>G37/3.7</f>
        <v>470.540540540541</v>
      </c>
      <c r="AS15" s="8">
        <f t="shared" si="9"/>
        <v>27.2303553553554</v>
      </c>
      <c r="AT15" s="7">
        <f t="shared" si="10"/>
        <v>0.567326429395395</v>
      </c>
      <c r="AU15" s="7">
        <f t="shared" si="11"/>
        <v>0.855956233645078</v>
      </c>
      <c r="AV15" s="7">
        <f t="shared" si="12"/>
        <v>0.754199496293506</v>
      </c>
      <c r="AW15" s="7">
        <f t="shared" si="13"/>
        <v>1.15249471083702</v>
      </c>
    </row>
    <row r="16" ht="20.4" spans="20:49">
      <c r="T16" s="11"/>
      <c r="U16" s="8">
        <v>310.22</v>
      </c>
      <c r="V16" s="8">
        <f t="shared" ref="V16:Z16" si="38">U16/748.8*100</f>
        <v>41.428952991453</v>
      </c>
      <c r="W16" s="8">
        <v>336.601</v>
      </c>
      <c r="X16" s="8">
        <f t="shared" si="38"/>
        <v>44.9520566239316</v>
      </c>
      <c r="Y16" s="8">
        <v>336.701</v>
      </c>
      <c r="Z16" s="8">
        <f t="shared" si="38"/>
        <v>44.9654113247863</v>
      </c>
      <c r="AA16" s="8">
        <v>81.81</v>
      </c>
      <c r="AB16" s="8">
        <f t="shared" si="1"/>
        <v>10.9254807692308</v>
      </c>
      <c r="AC16" s="8">
        <f>G36/9.5</f>
        <v>172.842105263158</v>
      </c>
      <c r="AD16" s="8">
        <f t="shared" si="2"/>
        <v>23.0825461088619</v>
      </c>
      <c r="AE16" s="7">
        <f t="shared" si="3"/>
        <v>0.557159774557275</v>
      </c>
      <c r="AF16" s="7">
        <f t="shared" si="4"/>
        <v>0.513492548338115</v>
      </c>
      <c r="AG16" s="7">
        <f t="shared" si="5"/>
        <v>0.513340041351697</v>
      </c>
      <c r="AH16" s="7">
        <f t="shared" si="6"/>
        <v>2.11272589247229</v>
      </c>
      <c r="AI16" s="3"/>
      <c r="AJ16" s="19">
        <v>820.55</v>
      </c>
      <c r="AK16" s="20">
        <f t="shared" ref="AK16:AO16" si="39">AJ16/1728*100</f>
        <v>47.4855324074074</v>
      </c>
      <c r="AL16" s="19">
        <v>550.712</v>
      </c>
      <c r="AM16" s="20">
        <f t="shared" si="39"/>
        <v>31.8699074074074</v>
      </c>
      <c r="AN16" s="19">
        <v>620.333</v>
      </c>
      <c r="AO16" s="20">
        <f t="shared" si="39"/>
        <v>35.898900462963</v>
      </c>
      <c r="AP16" s="19">
        <v>414.99</v>
      </c>
      <c r="AQ16" s="20">
        <f t="shared" si="8"/>
        <v>24.015625</v>
      </c>
      <c r="AR16" s="19">
        <f>G36/3.7</f>
        <v>443.783783783784</v>
      </c>
      <c r="AS16" s="8">
        <f t="shared" si="9"/>
        <v>25.6819319319319</v>
      </c>
      <c r="AT16" s="7">
        <f t="shared" si="10"/>
        <v>0.540836979810839</v>
      </c>
      <c r="AU16" s="7">
        <f t="shared" si="11"/>
        <v>0.805836415011447</v>
      </c>
      <c r="AV16" s="7">
        <f t="shared" si="12"/>
        <v>0.715396059509624</v>
      </c>
      <c r="AW16" s="7">
        <f t="shared" si="13"/>
        <v>1.06938428343763</v>
      </c>
    </row>
    <row r="17" ht="20.4" spans="20:49">
      <c r="T17" s="11"/>
      <c r="U17" s="8">
        <v>310.77</v>
      </c>
      <c r="V17" s="8">
        <f t="shared" ref="V17:Z17" si="40">U17/748.8*100</f>
        <v>41.5024038461538</v>
      </c>
      <c r="W17" s="8">
        <v>336.995</v>
      </c>
      <c r="X17" s="8">
        <f t="shared" si="40"/>
        <v>45.0046741452991</v>
      </c>
      <c r="Y17" s="8">
        <v>337.002</v>
      </c>
      <c r="Z17" s="8">
        <f t="shared" si="40"/>
        <v>45.005608974359</v>
      </c>
      <c r="AA17" s="8">
        <v>149.22</v>
      </c>
      <c r="AB17" s="8">
        <f t="shared" si="1"/>
        <v>19.9278846153846</v>
      </c>
      <c r="AC17" s="8">
        <f>G35/9.5</f>
        <v>171.894736842105</v>
      </c>
      <c r="AD17" s="8">
        <f t="shared" si="2"/>
        <v>22.9560278902384</v>
      </c>
      <c r="AE17" s="7">
        <f t="shared" si="3"/>
        <v>0.55312525933039</v>
      </c>
      <c r="AF17" s="7">
        <f t="shared" si="4"/>
        <v>0.51008097105923</v>
      </c>
      <c r="AG17" s="7">
        <f t="shared" si="5"/>
        <v>0.510070375968407</v>
      </c>
      <c r="AH17" s="7">
        <f t="shared" si="6"/>
        <v>1.15195507868989</v>
      </c>
      <c r="AI17" s="3"/>
      <c r="AJ17" s="19">
        <v>821.38</v>
      </c>
      <c r="AK17" s="20">
        <f t="shared" ref="AK17:AO17" si="41">AJ17/1728*100</f>
        <v>47.5335648148148</v>
      </c>
      <c r="AL17" s="19">
        <v>555.246</v>
      </c>
      <c r="AM17" s="20">
        <f t="shared" si="41"/>
        <v>32.1322916666667</v>
      </c>
      <c r="AN17" s="19">
        <v>617.553</v>
      </c>
      <c r="AO17" s="20">
        <f t="shared" si="41"/>
        <v>35.7380208333333</v>
      </c>
      <c r="AP17" s="19">
        <v>456.56</v>
      </c>
      <c r="AQ17" s="20">
        <f t="shared" si="8"/>
        <v>26.4212962962963</v>
      </c>
      <c r="AR17" s="19">
        <f>G35/3.7</f>
        <v>441.351351351351</v>
      </c>
      <c r="AS17" s="8">
        <f t="shared" si="9"/>
        <v>25.5411661661662</v>
      </c>
      <c r="AT17" s="7">
        <f t="shared" si="10"/>
        <v>0.537329069798816</v>
      </c>
      <c r="AU17" s="7">
        <f t="shared" si="11"/>
        <v>0.794875336970192</v>
      </c>
      <c r="AV17" s="7">
        <f t="shared" si="12"/>
        <v>0.714677689771326</v>
      </c>
      <c r="AW17" s="7">
        <f t="shared" si="13"/>
        <v>0.96668860905763</v>
      </c>
    </row>
    <row r="18" ht="20.4" spans="20:49">
      <c r="T18" s="11"/>
      <c r="U18" s="8">
        <v>309.57</v>
      </c>
      <c r="V18" s="8">
        <f t="shared" ref="V18:Z18" si="42">U18/748.8*100</f>
        <v>41.3421474358974</v>
      </c>
      <c r="W18" s="8">
        <v>335.786</v>
      </c>
      <c r="X18" s="8">
        <f t="shared" si="42"/>
        <v>44.8432158119658</v>
      </c>
      <c r="Y18" s="8">
        <v>336.39</v>
      </c>
      <c r="Z18" s="8">
        <f t="shared" si="42"/>
        <v>44.9238782051282</v>
      </c>
      <c r="AA18" s="8">
        <v>83.32</v>
      </c>
      <c r="AB18" s="8">
        <f t="shared" si="1"/>
        <v>11.1271367521368</v>
      </c>
      <c r="AC18" s="8">
        <f>G34/9.5</f>
        <v>170</v>
      </c>
      <c r="AD18" s="8">
        <f t="shared" si="2"/>
        <v>22.7029914529915</v>
      </c>
      <c r="AE18" s="7">
        <f t="shared" si="3"/>
        <v>0.549148819330038</v>
      </c>
      <c r="AF18" s="7">
        <f t="shared" si="4"/>
        <v>0.506274829802315</v>
      </c>
      <c r="AG18" s="7">
        <f t="shared" si="5"/>
        <v>0.505365795653854</v>
      </c>
      <c r="AH18" s="7">
        <f t="shared" si="6"/>
        <v>2.04032645223236</v>
      </c>
      <c r="AI18" s="3"/>
      <c r="AJ18" s="19">
        <v>819.68</v>
      </c>
      <c r="AK18" s="20">
        <f t="shared" ref="AK18:AO18" si="43">AJ18/1728*100</f>
        <v>47.4351851851852</v>
      </c>
      <c r="AL18" s="19">
        <v>555.302</v>
      </c>
      <c r="AM18" s="20">
        <f t="shared" si="43"/>
        <v>32.1355324074074</v>
      </c>
      <c r="AN18" s="19">
        <v>620.504</v>
      </c>
      <c r="AO18" s="20">
        <f t="shared" si="43"/>
        <v>35.9087962962963</v>
      </c>
      <c r="AP18" s="19">
        <v>407.09</v>
      </c>
      <c r="AQ18" s="20">
        <f t="shared" si="8"/>
        <v>23.5584490740741</v>
      </c>
      <c r="AR18" s="19">
        <f>G34/3.7</f>
        <v>436.486486486486</v>
      </c>
      <c r="AS18" s="8">
        <f t="shared" si="9"/>
        <v>25.2596346346346</v>
      </c>
      <c r="AT18" s="7">
        <f t="shared" si="10"/>
        <v>0.53250840143286</v>
      </c>
      <c r="AU18" s="7">
        <f t="shared" si="11"/>
        <v>0.786034421785779</v>
      </c>
      <c r="AV18" s="7">
        <f t="shared" si="12"/>
        <v>0.703438634539804</v>
      </c>
      <c r="AW18" s="7">
        <f t="shared" si="13"/>
        <v>1.07221127143012</v>
      </c>
    </row>
    <row r="19" ht="20.4" spans="20:49">
      <c r="T19" s="11"/>
      <c r="U19" s="8">
        <v>310.45</v>
      </c>
      <c r="V19" s="8">
        <f t="shared" ref="V19:Z19" si="44">U19/748.8*100</f>
        <v>41.4596688034188</v>
      </c>
      <c r="W19" s="8">
        <v>334.747</v>
      </c>
      <c r="X19" s="8">
        <f t="shared" si="44"/>
        <v>44.7044604700855</v>
      </c>
      <c r="Y19" s="8">
        <v>336.892</v>
      </c>
      <c r="Z19" s="8">
        <f t="shared" si="44"/>
        <v>44.9909188034188</v>
      </c>
      <c r="AA19" s="8">
        <v>144.54</v>
      </c>
      <c r="AB19" s="8">
        <f t="shared" si="1"/>
        <v>19.3028846153846</v>
      </c>
      <c r="AC19" s="8">
        <f>G33/9.5</f>
        <v>168.421052631579</v>
      </c>
      <c r="AD19" s="8">
        <f t="shared" si="2"/>
        <v>22.4921277552857</v>
      </c>
      <c r="AE19" s="7">
        <f t="shared" si="3"/>
        <v>0.542506209153097</v>
      </c>
      <c r="AF19" s="7">
        <f t="shared" si="4"/>
        <v>0.503129386167998</v>
      </c>
      <c r="AG19" s="7">
        <f t="shared" si="5"/>
        <v>0.499925948468883</v>
      </c>
      <c r="AH19" s="7">
        <f t="shared" si="6"/>
        <v>1.16522106428379</v>
      </c>
      <c r="AI19" s="3"/>
      <c r="AJ19" s="19">
        <v>843.85</v>
      </c>
      <c r="AK19" s="20">
        <f t="shared" ref="AK19:AO19" si="45">AJ19/1728*100</f>
        <v>48.833912037037</v>
      </c>
      <c r="AL19" s="19">
        <v>556.254</v>
      </c>
      <c r="AM19" s="20">
        <f t="shared" si="45"/>
        <v>32.190625</v>
      </c>
      <c r="AN19" s="19">
        <v>623.926</v>
      </c>
      <c r="AO19" s="20">
        <f t="shared" si="45"/>
        <v>36.1068287037037</v>
      </c>
      <c r="AP19" s="19">
        <v>443.08</v>
      </c>
      <c r="AQ19" s="20">
        <f t="shared" si="8"/>
        <v>25.6412037037037</v>
      </c>
      <c r="AR19" s="19">
        <f>G33/3.7</f>
        <v>432.432432432432</v>
      </c>
      <c r="AS19" s="8">
        <f t="shared" si="9"/>
        <v>25.025025025025</v>
      </c>
      <c r="AT19" s="7">
        <f t="shared" si="10"/>
        <v>0.512451777487033</v>
      </c>
      <c r="AU19" s="7">
        <f t="shared" si="11"/>
        <v>0.777401029803709</v>
      </c>
      <c r="AV19" s="7">
        <f t="shared" si="12"/>
        <v>0.693082885522373</v>
      </c>
      <c r="AW19" s="7">
        <f t="shared" si="13"/>
        <v>0.975969198412098</v>
      </c>
    </row>
    <row r="20" ht="20.4" spans="20:49">
      <c r="T20" s="11"/>
      <c r="U20" s="8">
        <v>311.53</v>
      </c>
      <c r="V20" s="8">
        <f t="shared" ref="V20:Z20" si="46">U20/748.8*100</f>
        <v>41.6038995726496</v>
      </c>
      <c r="W20" s="8">
        <v>334.77</v>
      </c>
      <c r="X20" s="8">
        <f t="shared" si="46"/>
        <v>44.7075320512821</v>
      </c>
      <c r="Y20" s="8">
        <v>337.192</v>
      </c>
      <c r="Z20" s="8">
        <f t="shared" si="46"/>
        <v>45.0309829059829</v>
      </c>
      <c r="AA20" s="8">
        <v>154.56</v>
      </c>
      <c r="AB20" s="8">
        <f t="shared" si="1"/>
        <v>20.6410256410256</v>
      </c>
      <c r="AC20" s="8" t="e">
        <f>#REF!/9.5</f>
        <v>#REF!</v>
      </c>
      <c r="AD20" s="8" t="e">
        <f t="shared" si="2"/>
        <v>#REF!</v>
      </c>
      <c r="AE20" s="7" t="e">
        <f t="shared" si="3"/>
        <v>#REF!</v>
      </c>
      <c r="AF20" s="7" t="e">
        <f t="shared" si="4"/>
        <v>#REF!</v>
      </c>
      <c r="AG20" s="7" t="e">
        <f t="shared" si="5"/>
        <v>#REF!</v>
      </c>
      <c r="AH20" s="7" t="e">
        <f t="shared" si="6"/>
        <v>#REF!</v>
      </c>
      <c r="AI20" s="3"/>
      <c r="AJ20" s="19">
        <v>849.69</v>
      </c>
      <c r="AK20" s="20">
        <f t="shared" ref="AK20:AO20" si="47">AJ20/1728*100</f>
        <v>49.171875</v>
      </c>
      <c r="AL20" s="19">
        <v>553.81</v>
      </c>
      <c r="AM20" s="20">
        <f t="shared" si="47"/>
        <v>32.0491898148148</v>
      </c>
      <c r="AN20" s="19">
        <v>619.561</v>
      </c>
      <c r="AO20" s="20">
        <f t="shared" si="47"/>
        <v>35.854224537037</v>
      </c>
      <c r="AP20" s="19">
        <v>460.22</v>
      </c>
      <c r="AQ20" s="20">
        <f t="shared" si="8"/>
        <v>26.6331018518519</v>
      </c>
      <c r="AR20" s="19" t="e">
        <f>#REF!/3.7</f>
        <v>#REF!</v>
      </c>
      <c r="AS20" s="8" t="e">
        <f t="shared" si="9"/>
        <v>#REF!</v>
      </c>
      <c r="AT20" s="7" t="e">
        <f t="shared" si="10"/>
        <v>#REF!</v>
      </c>
      <c r="AU20" s="7" t="e">
        <f t="shared" si="11"/>
        <v>#REF!</v>
      </c>
      <c r="AV20" s="7" t="e">
        <f t="shared" si="12"/>
        <v>#REF!</v>
      </c>
      <c r="AW20" s="7" t="e">
        <f t="shared" si="13"/>
        <v>#REF!</v>
      </c>
    </row>
    <row r="21" ht="20.4" spans="20:49">
      <c r="T21" s="11"/>
      <c r="U21" s="8">
        <v>310.36</v>
      </c>
      <c r="V21" s="8">
        <f t="shared" ref="V21:Z21" si="48">U21/748.8*100</f>
        <v>41.4476495726496</v>
      </c>
      <c r="W21" s="8">
        <v>333.608</v>
      </c>
      <c r="X21" s="8">
        <f t="shared" si="48"/>
        <v>44.5523504273504</v>
      </c>
      <c r="Y21" s="8">
        <v>260.167</v>
      </c>
      <c r="Z21" s="8">
        <f t="shared" si="48"/>
        <v>34.7445245726496</v>
      </c>
      <c r="AA21" s="8">
        <v>149.32</v>
      </c>
      <c r="AB21" s="8">
        <f t="shared" si="1"/>
        <v>19.9412393162393</v>
      </c>
      <c r="AC21" s="8" t="e">
        <f>#REF!/9.5</f>
        <v>#REF!</v>
      </c>
      <c r="AD21" s="8" t="e">
        <f t="shared" si="2"/>
        <v>#REF!</v>
      </c>
      <c r="AE21" s="7" t="e">
        <f t="shared" si="3"/>
        <v>#REF!</v>
      </c>
      <c r="AF21" s="7" t="e">
        <f t="shared" si="4"/>
        <v>#REF!</v>
      </c>
      <c r="AG21" s="7" t="e">
        <f t="shared" si="5"/>
        <v>#REF!</v>
      </c>
      <c r="AH21" s="7" t="e">
        <f t="shared" si="6"/>
        <v>#REF!</v>
      </c>
      <c r="AI21" s="3"/>
      <c r="AJ21" s="19">
        <v>857.96</v>
      </c>
      <c r="AK21" s="20">
        <f t="shared" ref="AK21:AO21" si="49">AJ21/1728*100</f>
        <v>49.650462962963</v>
      </c>
      <c r="AL21" s="19">
        <v>564.351</v>
      </c>
      <c r="AM21" s="20">
        <f t="shared" si="49"/>
        <v>32.6592013888889</v>
      </c>
      <c r="AN21" s="19">
        <v>625.313</v>
      </c>
      <c r="AO21" s="20">
        <f t="shared" si="49"/>
        <v>36.1870949074074</v>
      </c>
      <c r="AP21" s="19">
        <v>462.79</v>
      </c>
      <c r="AQ21" s="20">
        <f t="shared" si="8"/>
        <v>26.7818287037037</v>
      </c>
      <c r="AR21" s="19" t="e">
        <f>#REF!/3.7</f>
        <v>#REF!</v>
      </c>
      <c r="AS21" s="8" t="e">
        <f t="shared" si="9"/>
        <v>#REF!</v>
      </c>
      <c r="AT21" s="7" t="e">
        <f t="shared" si="10"/>
        <v>#REF!</v>
      </c>
      <c r="AU21" s="7" t="e">
        <f t="shared" si="11"/>
        <v>#REF!</v>
      </c>
      <c r="AV21" s="7" t="e">
        <f t="shared" si="12"/>
        <v>#REF!</v>
      </c>
      <c r="AW21" s="7" t="e">
        <f t="shared" si="13"/>
        <v>#REF!</v>
      </c>
    </row>
    <row r="22" ht="20.4" spans="20:49">
      <c r="T22" s="11"/>
      <c r="U22" s="8">
        <v>306.91</v>
      </c>
      <c r="V22" s="8">
        <f t="shared" ref="V22:Z22" si="50">U22/748.8*100</f>
        <v>40.9869123931624</v>
      </c>
      <c r="W22" s="8">
        <v>333.783</v>
      </c>
      <c r="X22" s="8">
        <f t="shared" si="50"/>
        <v>44.5757211538462</v>
      </c>
      <c r="Y22" s="8">
        <v>249.26</v>
      </c>
      <c r="Z22" s="8">
        <f t="shared" si="50"/>
        <v>33.2879273504273</v>
      </c>
      <c r="AA22" s="8">
        <v>75.42</v>
      </c>
      <c r="AB22" s="8">
        <f t="shared" si="1"/>
        <v>10.0721153846154</v>
      </c>
      <c r="AC22" s="8" t="e">
        <f>#REF!/9.5</f>
        <v>#REF!</v>
      </c>
      <c r="AD22" s="8" t="e">
        <f t="shared" si="2"/>
        <v>#REF!</v>
      </c>
      <c r="AE22" s="7" t="e">
        <f t="shared" si="3"/>
        <v>#REF!</v>
      </c>
      <c r="AF22" s="7" t="e">
        <f t="shared" si="4"/>
        <v>#REF!</v>
      </c>
      <c r="AG22" s="7" t="e">
        <f t="shared" si="5"/>
        <v>#REF!</v>
      </c>
      <c r="AH22" s="7" t="e">
        <f t="shared" si="6"/>
        <v>#REF!</v>
      </c>
      <c r="AI22" s="3"/>
      <c r="AJ22" s="19">
        <v>860.97</v>
      </c>
      <c r="AK22" s="20">
        <f t="shared" ref="AK22:AO22" si="51">AJ22/1728*100</f>
        <v>49.8246527777778</v>
      </c>
      <c r="AL22" s="19">
        <v>569.221</v>
      </c>
      <c r="AM22" s="20">
        <f t="shared" si="51"/>
        <v>32.9410300925926</v>
      </c>
      <c r="AN22" s="19">
        <v>617.907</v>
      </c>
      <c r="AO22" s="20">
        <f t="shared" si="51"/>
        <v>35.7585069444444</v>
      </c>
      <c r="AP22" s="19">
        <v>414.23</v>
      </c>
      <c r="AQ22" s="20">
        <f t="shared" si="8"/>
        <v>23.9716435185185</v>
      </c>
      <c r="AR22" s="19" t="e">
        <f>#REF!/3.7</f>
        <v>#REF!</v>
      </c>
      <c r="AS22" s="8" t="e">
        <f t="shared" si="9"/>
        <v>#REF!</v>
      </c>
      <c r="AT22" s="7" t="e">
        <f t="shared" si="10"/>
        <v>#REF!</v>
      </c>
      <c r="AU22" s="7" t="e">
        <f t="shared" si="11"/>
        <v>#REF!</v>
      </c>
      <c r="AV22" s="7" t="e">
        <f t="shared" si="12"/>
        <v>#REF!</v>
      </c>
      <c r="AW22" s="7" t="e">
        <f t="shared" si="13"/>
        <v>#REF!</v>
      </c>
    </row>
    <row r="23" ht="20.4" spans="20:49">
      <c r="T23" s="11"/>
      <c r="U23" s="8">
        <v>308.05</v>
      </c>
      <c r="V23" s="8">
        <f t="shared" ref="V23:Z23" si="52">U23/748.8*100</f>
        <v>41.139155982906</v>
      </c>
      <c r="W23" s="8">
        <v>331.873</v>
      </c>
      <c r="X23" s="8">
        <f t="shared" si="52"/>
        <v>44.3206463675214</v>
      </c>
      <c r="Y23" s="8">
        <v>237.712</v>
      </c>
      <c r="Z23" s="8">
        <f t="shared" si="52"/>
        <v>31.7457264957265</v>
      </c>
      <c r="AA23" s="8">
        <v>79.5</v>
      </c>
      <c r="AB23" s="8">
        <f t="shared" si="1"/>
        <v>10.6169871794872</v>
      </c>
      <c r="AC23" s="8" t="e">
        <f>#REF!/9.5</f>
        <v>#REF!</v>
      </c>
      <c r="AD23" s="8" t="e">
        <f t="shared" si="2"/>
        <v>#REF!</v>
      </c>
      <c r="AE23" s="7" t="e">
        <f t="shared" si="3"/>
        <v>#REF!</v>
      </c>
      <c r="AF23" s="7" t="e">
        <f t="shared" si="4"/>
        <v>#REF!</v>
      </c>
      <c r="AG23" s="7" t="e">
        <f t="shared" si="5"/>
        <v>#REF!</v>
      </c>
      <c r="AH23" s="7" t="e">
        <f t="shared" si="6"/>
        <v>#REF!</v>
      </c>
      <c r="AI23" s="3"/>
      <c r="AJ23" s="19">
        <v>859.06</v>
      </c>
      <c r="AK23" s="20">
        <f t="shared" ref="AK23:AO23" si="53">AJ23/1728*100</f>
        <v>49.7141203703704</v>
      </c>
      <c r="AL23" s="19">
        <v>564.59</v>
      </c>
      <c r="AM23" s="20">
        <f t="shared" si="53"/>
        <v>32.6730324074074</v>
      </c>
      <c r="AN23" s="19">
        <v>622.103</v>
      </c>
      <c r="AO23" s="20">
        <f t="shared" si="53"/>
        <v>36.0013310185185</v>
      </c>
      <c r="AP23" s="19">
        <v>416.93</v>
      </c>
      <c r="AQ23" s="20">
        <f t="shared" si="8"/>
        <v>24.1278935185185</v>
      </c>
      <c r="AR23" s="19" t="e">
        <f>#REF!/3.7</f>
        <v>#REF!</v>
      </c>
      <c r="AS23" s="8" t="e">
        <f t="shared" si="9"/>
        <v>#REF!</v>
      </c>
      <c r="AT23" s="7" t="e">
        <f t="shared" si="10"/>
        <v>#REF!</v>
      </c>
      <c r="AU23" s="7" t="e">
        <f t="shared" si="11"/>
        <v>#REF!</v>
      </c>
      <c r="AV23" s="7" t="e">
        <f t="shared" si="12"/>
        <v>#REF!</v>
      </c>
      <c r="AW23" s="7" t="e">
        <f t="shared" si="13"/>
        <v>#REF!</v>
      </c>
    </row>
    <row r="24" ht="20.4" spans="20:49">
      <c r="T24" s="11"/>
      <c r="U24" s="8">
        <v>306.99</v>
      </c>
      <c r="V24" s="8">
        <f t="shared" ref="V24:Z24" si="54">U24/748.8*100</f>
        <v>40.9975961538462</v>
      </c>
      <c r="W24" s="8">
        <v>330.732</v>
      </c>
      <c r="X24" s="8">
        <f t="shared" si="54"/>
        <v>44.1682692307692</v>
      </c>
      <c r="Y24" s="8">
        <v>260.751</v>
      </c>
      <c r="Z24" s="8">
        <f t="shared" si="54"/>
        <v>34.822516025641</v>
      </c>
      <c r="AA24" s="8">
        <v>77.53</v>
      </c>
      <c r="AB24" s="8">
        <f t="shared" si="1"/>
        <v>10.3538995726496</v>
      </c>
      <c r="AC24" s="8" t="e">
        <f>#REF!/9.5</f>
        <v>#REF!</v>
      </c>
      <c r="AD24" s="8" t="e">
        <f t="shared" si="2"/>
        <v>#REF!</v>
      </c>
      <c r="AE24" s="7" t="e">
        <f t="shared" si="3"/>
        <v>#REF!</v>
      </c>
      <c r="AF24" s="7" t="e">
        <f t="shared" si="4"/>
        <v>#REF!</v>
      </c>
      <c r="AG24" s="7" t="e">
        <f t="shared" si="5"/>
        <v>#REF!</v>
      </c>
      <c r="AH24" s="7" t="e">
        <f t="shared" si="6"/>
        <v>#REF!</v>
      </c>
      <c r="AI24" s="3"/>
      <c r="AJ24" s="19">
        <v>883.18</v>
      </c>
      <c r="AK24" s="20">
        <f t="shared" ref="AK24:AO24" si="55">AJ24/1728*100</f>
        <v>51.1099537037037</v>
      </c>
      <c r="AL24" s="19">
        <v>568.039</v>
      </c>
      <c r="AM24" s="20">
        <f t="shared" si="55"/>
        <v>32.8726273148148</v>
      </c>
      <c r="AN24" s="19">
        <v>617.46</v>
      </c>
      <c r="AO24" s="20">
        <f t="shared" si="55"/>
        <v>35.7326388888889</v>
      </c>
      <c r="AP24" s="19">
        <v>412.38</v>
      </c>
      <c r="AQ24" s="20">
        <f t="shared" si="8"/>
        <v>23.8645833333333</v>
      </c>
      <c r="AR24" s="19" t="e">
        <f>#REF!/3.7</f>
        <v>#REF!</v>
      </c>
      <c r="AS24" s="8" t="e">
        <f t="shared" si="9"/>
        <v>#REF!</v>
      </c>
      <c r="AT24" s="7" t="e">
        <f t="shared" si="10"/>
        <v>#REF!</v>
      </c>
      <c r="AU24" s="7" t="e">
        <f t="shared" si="11"/>
        <v>#REF!</v>
      </c>
      <c r="AV24" s="7" t="e">
        <f t="shared" si="12"/>
        <v>#REF!</v>
      </c>
      <c r="AW24" s="7" t="e">
        <f t="shared" si="13"/>
        <v>#REF!</v>
      </c>
    </row>
    <row r="25" ht="20.4" spans="1:49">
      <c r="A25" s="2" t="s">
        <v>26</v>
      </c>
      <c r="B25" s="2" t="s">
        <v>0</v>
      </c>
      <c r="C25" s="2" t="s">
        <v>1</v>
      </c>
      <c r="D25" s="2" t="s">
        <v>2</v>
      </c>
      <c r="E25" s="2" t="s">
        <v>27</v>
      </c>
      <c r="F25" s="2" t="s">
        <v>23</v>
      </c>
      <c r="G25" s="2" t="s">
        <v>28</v>
      </c>
      <c r="H25" s="2" t="s">
        <v>23</v>
      </c>
      <c r="I25" s="6" t="s">
        <v>14</v>
      </c>
      <c r="J25" s="6" t="s">
        <v>15</v>
      </c>
      <c r="K25" s="6" t="s">
        <v>16</v>
      </c>
      <c r="L25" s="6" t="s">
        <v>17</v>
      </c>
      <c r="M25" s="6" t="s">
        <v>18</v>
      </c>
      <c r="N25" s="2" t="s">
        <v>19</v>
      </c>
      <c r="O25" s="2" t="s">
        <v>23</v>
      </c>
      <c r="P25" s="2" t="s">
        <v>20</v>
      </c>
      <c r="Q25" s="2" t="s">
        <v>21</v>
      </c>
      <c r="R25" s="2" t="s">
        <v>22</v>
      </c>
      <c r="S25" s="2" t="s">
        <v>23</v>
      </c>
      <c r="T25" s="11"/>
      <c r="U25" s="8">
        <v>307.95</v>
      </c>
      <c r="V25" s="8">
        <f t="shared" ref="V25:Z25" si="56">U25/748.8*100</f>
        <v>41.1258012820513</v>
      </c>
      <c r="W25" s="8">
        <v>329.133</v>
      </c>
      <c r="X25" s="8">
        <f t="shared" si="56"/>
        <v>43.9547275641026</v>
      </c>
      <c r="Y25" s="8">
        <v>270.745</v>
      </c>
      <c r="Z25" s="8">
        <f t="shared" si="56"/>
        <v>36.1571848290598</v>
      </c>
      <c r="AA25" s="8">
        <v>71.79</v>
      </c>
      <c r="AB25" s="8">
        <f t="shared" si="1"/>
        <v>9.58733974358975</v>
      </c>
      <c r="AC25" s="8" t="e">
        <f>#REF!/9.5</f>
        <v>#REF!</v>
      </c>
      <c r="AD25" s="8" t="e">
        <f t="shared" si="2"/>
        <v>#REF!</v>
      </c>
      <c r="AE25" s="7" t="e">
        <f t="shared" si="3"/>
        <v>#REF!</v>
      </c>
      <c r="AF25" s="7" t="e">
        <f t="shared" si="4"/>
        <v>#REF!</v>
      </c>
      <c r="AG25" s="7" t="e">
        <f t="shared" si="5"/>
        <v>#REF!</v>
      </c>
      <c r="AH25" s="7" t="e">
        <f t="shared" si="6"/>
        <v>#REF!</v>
      </c>
      <c r="AI25" s="3"/>
      <c r="AJ25" s="19">
        <v>869.09</v>
      </c>
      <c r="AK25" s="20">
        <f t="shared" ref="AK25:AO25" si="57">AJ25/1728*100</f>
        <v>50.2945601851852</v>
      </c>
      <c r="AL25" s="19">
        <v>580.549</v>
      </c>
      <c r="AM25" s="20">
        <f t="shared" si="57"/>
        <v>33.5965856481481</v>
      </c>
      <c r="AN25" s="19">
        <v>616.494</v>
      </c>
      <c r="AO25" s="20">
        <f t="shared" si="57"/>
        <v>35.6767361111111</v>
      </c>
      <c r="AP25" s="19">
        <v>190.2</v>
      </c>
      <c r="AQ25" s="20">
        <f t="shared" si="8"/>
        <v>11.0069444444444</v>
      </c>
      <c r="AR25" s="19" t="e">
        <f>#REF!/3.7</f>
        <v>#REF!</v>
      </c>
      <c r="AS25" s="8" t="e">
        <f t="shared" si="9"/>
        <v>#REF!</v>
      </c>
      <c r="AT25" s="7" t="e">
        <f t="shared" si="10"/>
        <v>#REF!</v>
      </c>
      <c r="AU25" s="7" t="e">
        <f t="shared" si="11"/>
        <v>#REF!</v>
      </c>
      <c r="AV25" s="7" t="e">
        <f t="shared" si="12"/>
        <v>#REF!</v>
      </c>
      <c r="AW25" s="7" t="e">
        <f t="shared" si="13"/>
        <v>#REF!</v>
      </c>
    </row>
    <row r="26" ht="20.4" spans="1:49">
      <c r="A26" s="2">
        <v>1</v>
      </c>
      <c r="B26" s="2">
        <v>384</v>
      </c>
      <c r="C26" s="2">
        <v>22912</v>
      </c>
      <c r="D26" s="2">
        <v>384</v>
      </c>
      <c r="E26" s="2">
        <v>805</v>
      </c>
      <c r="F26" s="2">
        <v>11.27</v>
      </c>
      <c r="G26" s="2">
        <v>1564</v>
      </c>
      <c r="H26" s="8">
        <f t="shared" ref="H26:H49" si="58">G26/(1.55*8*8*2*36)*100</f>
        <v>21.8974014336918</v>
      </c>
      <c r="I26" s="7">
        <f t="shared" ref="I26:I49" si="59">G26/E26</f>
        <v>1.94285714285714</v>
      </c>
      <c r="J26" s="7">
        <f t="shared" ref="J26:J49" si="60">G26/N26</f>
        <v>0.844674875783106</v>
      </c>
      <c r="K26" s="7">
        <f t="shared" ref="K26:K49" si="61">G26/P26</f>
        <v>0.554030358313112</v>
      </c>
      <c r="L26" s="7">
        <f t="shared" ref="L26:L49" si="62">G26/Q26</f>
        <v>0.736411350716847</v>
      </c>
      <c r="M26" s="7">
        <f t="shared" ref="M26:M49" si="63">G26/R26</f>
        <v>1.28805485598328</v>
      </c>
      <c r="N26" s="8">
        <f t="shared" ref="N4:N26" si="64">U26*6</f>
        <v>1851.6</v>
      </c>
      <c r="O26" s="8">
        <f t="shared" ref="O26:O49" si="65">N26/7142.4*100</f>
        <v>25.924059139785</v>
      </c>
      <c r="P26" s="8">
        <f t="shared" ref="P3:P26" si="66">W26*8.6</f>
        <v>2822.95</v>
      </c>
      <c r="Q26" s="8">
        <f t="shared" ref="Q3:Q26" si="67">Y26*8.6</f>
        <v>2123.813</v>
      </c>
      <c r="R26" s="8">
        <f t="shared" ref="R3:R26" si="68">AA26*8.6</f>
        <v>1214.234</v>
      </c>
      <c r="S26" s="8">
        <f t="shared" ref="S26:S49" si="69">R26/7142.4*100</f>
        <v>17.0003640232975</v>
      </c>
      <c r="T26" s="11"/>
      <c r="U26" s="8">
        <v>308.6</v>
      </c>
      <c r="V26" s="8">
        <f t="shared" ref="V26:Z26" si="70">U26/748.8*100</f>
        <v>41.2126068376068</v>
      </c>
      <c r="W26" s="8">
        <v>328.25</v>
      </c>
      <c r="X26" s="8">
        <f t="shared" si="70"/>
        <v>43.8368055555556</v>
      </c>
      <c r="Y26" s="8">
        <v>246.955</v>
      </c>
      <c r="Z26" s="8">
        <f t="shared" si="70"/>
        <v>32.9801014957265</v>
      </c>
      <c r="AA26" s="8">
        <v>141.19</v>
      </c>
      <c r="AB26" s="8">
        <f t="shared" si="1"/>
        <v>18.8555021367521</v>
      </c>
      <c r="AC26" s="8">
        <f>G26/9.5</f>
        <v>164.631578947368</v>
      </c>
      <c r="AD26" s="8">
        <f t="shared" si="2"/>
        <v>21.9860548807917</v>
      </c>
      <c r="AE26" s="7">
        <f t="shared" si="3"/>
        <v>0.533478868915646</v>
      </c>
      <c r="AF26" s="7">
        <f t="shared" si="4"/>
        <v>0.50154327173608</v>
      </c>
      <c r="AG26" s="7">
        <f t="shared" si="5"/>
        <v>0.666646064859462</v>
      </c>
      <c r="AH26" s="7">
        <f t="shared" si="6"/>
        <v>1.16602860646907</v>
      </c>
      <c r="AI26" s="3"/>
      <c r="AJ26" s="19">
        <v>900.32</v>
      </c>
      <c r="AK26" s="20">
        <f t="shared" ref="AK26:AO26" si="71">AJ26/1728*100</f>
        <v>52.1018518518519</v>
      </c>
      <c r="AL26" s="19">
        <v>585.601</v>
      </c>
      <c r="AM26" s="20">
        <f t="shared" si="71"/>
        <v>33.8889467592593</v>
      </c>
      <c r="AN26" s="19">
        <v>621.336</v>
      </c>
      <c r="AO26" s="20">
        <f t="shared" si="71"/>
        <v>35.9569444444444</v>
      </c>
      <c r="AP26" s="19">
        <v>447.17</v>
      </c>
      <c r="AQ26" s="20">
        <f t="shared" si="8"/>
        <v>25.8778935185185</v>
      </c>
      <c r="AR26" s="19">
        <f>G26/3.7</f>
        <v>422.702702702703</v>
      </c>
      <c r="AS26" s="8">
        <f t="shared" si="9"/>
        <v>24.461961961962</v>
      </c>
      <c r="AT26" s="7">
        <f t="shared" si="10"/>
        <v>0.469502735363763</v>
      </c>
      <c r="AU26" s="7">
        <f t="shared" si="11"/>
        <v>0.721827153134477</v>
      </c>
      <c r="AV26" s="7">
        <f t="shared" si="12"/>
        <v>0.68031258884517</v>
      </c>
      <c r="AW26" s="7">
        <f t="shared" si="13"/>
        <v>0.945284126177299</v>
      </c>
    </row>
    <row r="27" ht="20.4" spans="1:19">
      <c r="A27" s="2">
        <v>2</v>
      </c>
      <c r="B27" s="2">
        <v>384</v>
      </c>
      <c r="C27" s="2">
        <v>24064</v>
      </c>
      <c r="D27" s="2">
        <v>384</v>
      </c>
      <c r="E27" s="2">
        <v>805</v>
      </c>
      <c r="F27" s="2">
        <v>11.27</v>
      </c>
      <c r="G27" s="2">
        <v>1574</v>
      </c>
      <c r="H27" s="8">
        <f t="shared" si="58"/>
        <v>22.0374103942652</v>
      </c>
      <c r="I27" s="7">
        <f t="shared" si="59"/>
        <v>1.95527950310559</v>
      </c>
      <c r="J27" s="7">
        <f t="shared" si="60"/>
        <v>0.851593356056917</v>
      </c>
      <c r="K27" s="7">
        <f t="shared" si="61"/>
        <v>0.551485826849287</v>
      </c>
      <c r="L27" s="7">
        <f t="shared" si="62"/>
        <v>0.7699369649574</v>
      </c>
      <c r="M27" s="7">
        <f t="shared" si="63"/>
        <v>2.30217931841451</v>
      </c>
      <c r="N27" s="8">
        <f>U23*6</f>
        <v>1848.3</v>
      </c>
      <c r="O27" s="8">
        <f t="shared" si="65"/>
        <v>25.8778561827957</v>
      </c>
      <c r="P27" s="8">
        <f>W23*8.6</f>
        <v>2854.1078</v>
      </c>
      <c r="Q27" s="8">
        <f>Y23*8.6</f>
        <v>2044.3232</v>
      </c>
      <c r="R27" s="8">
        <f>AA23*8.6</f>
        <v>683.7</v>
      </c>
      <c r="S27" s="8">
        <f t="shared" si="69"/>
        <v>9.5724126344086</v>
      </c>
    </row>
    <row r="28" ht="20.4" spans="1:19">
      <c r="A28" s="2">
        <v>3</v>
      </c>
      <c r="B28" s="2">
        <v>384</v>
      </c>
      <c r="C28" s="2">
        <v>27904</v>
      </c>
      <c r="D28" s="2">
        <v>384</v>
      </c>
      <c r="E28" s="2">
        <v>807</v>
      </c>
      <c r="F28" s="2">
        <v>11.3</v>
      </c>
      <c r="G28" s="2">
        <v>1586</v>
      </c>
      <c r="H28" s="8">
        <f t="shared" si="58"/>
        <v>22.2054211469534</v>
      </c>
      <c r="I28" s="7">
        <f t="shared" si="59"/>
        <v>1.96530359355638</v>
      </c>
      <c r="J28" s="7">
        <f t="shared" si="60"/>
        <v>0.848500411945345</v>
      </c>
      <c r="K28" s="7">
        <f t="shared" si="61"/>
        <v>0.550881514625453</v>
      </c>
      <c r="L28" s="7">
        <f t="shared" si="62"/>
        <v>0.546924614614709</v>
      </c>
      <c r="M28" s="7">
        <f t="shared" si="63"/>
        <v>1.19318455390245</v>
      </c>
      <c r="N28" s="8">
        <f>U20*6</f>
        <v>1869.18</v>
      </c>
      <c r="O28" s="8">
        <f t="shared" si="65"/>
        <v>26.1701948924731</v>
      </c>
      <c r="P28" s="8">
        <f>W20*8.6</f>
        <v>2879.022</v>
      </c>
      <c r="Q28" s="8">
        <f>Y20*8.6</f>
        <v>2899.8512</v>
      </c>
      <c r="R28" s="8">
        <f>AA20*8.6</f>
        <v>1329.216</v>
      </c>
      <c r="S28" s="8">
        <f t="shared" si="69"/>
        <v>18.6102150537634</v>
      </c>
    </row>
    <row r="29" ht="20.4" spans="1:19">
      <c r="A29" s="2">
        <v>4</v>
      </c>
      <c r="B29" s="2">
        <v>384</v>
      </c>
      <c r="C29" s="2">
        <v>29440</v>
      </c>
      <c r="D29" s="2">
        <v>384</v>
      </c>
      <c r="E29" s="2">
        <v>816</v>
      </c>
      <c r="F29" s="2">
        <v>11.42</v>
      </c>
      <c r="G29" s="2">
        <v>1596</v>
      </c>
      <c r="H29" s="8">
        <f t="shared" si="58"/>
        <v>22.3454301075269</v>
      </c>
      <c r="I29" s="7">
        <f t="shared" si="59"/>
        <v>1.95588235294118</v>
      </c>
      <c r="J29" s="7">
        <f t="shared" si="60"/>
        <v>0.855938475399813</v>
      </c>
      <c r="K29" s="7">
        <f t="shared" si="61"/>
        <v>0.550694803628651</v>
      </c>
      <c r="L29" s="7">
        <f t="shared" si="62"/>
        <v>0.550683364932069</v>
      </c>
      <c r="M29" s="7">
        <f t="shared" si="63"/>
        <v>1.24367641970806</v>
      </c>
      <c r="N29" s="8">
        <f>U17*6</f>
        <v>1864.62</v>
      </c>
      <c r="O29" s="8">
        <f t="shared" si="65"/>
        <v>26.1063508064516</v>
      </c>
      <c r="P29" s="8">
        <f>W17*8.6</f>
        <v>2898.157</v>
      </c>
      <c r="Q29" s="8">
        <f>Y17*8.6</f>
        <v>2898.2172</v>
      </c>
      <c r="R29" s="8">
        <f>AA17*8.6</f>
        <v>1283.292</v>
      </c>
      <c r="S29" s="8">
        <f t="shared" si="69"/>
        <v>17.9672379032258</v>
      </c>
    </row>
    <row r="30" ht="20.4" spans="1:19">
      <c r="A30" s="2">
        <v>5</v>
      </c>
      <c r="B30" s="2">
        <v>384</v>
      </c>
      <c r="C30" s="2">
        <v>32512</v>
      </c>
      <c r="D30" s="2">
        <v>384</v>
      </c>
      <c r="E30" s="2">
        <v>872</v>
      </c>
      <c r="F30" s="2">
        <v>12.21</v>
      </c>
      <c r="G30" s="2">
        <v>1582</v>
      </c>
      <c r="H30" s="8">
        <f t="shared" si="58"/>
        <v>22.149417562724</v>
      </c>
      <c r="I30" s="7">
        <f t="shared" si="59"/>
        <v>1.81422018348624</v>
      </c>
      <c r="J30" s="7">
        <f t="shared" si="60"/>
        <v>0.85689524428556</v>
      </c>
      <c r="K30" s="7">
        <f t="shared" si="61"/>
        <v>0.544279736940176</v>
      </c>
      <c r="L30" s="7">
        <f t="shared" si="62"/>
        <v>0.546094255868563</v>
      </c>
      <c r="M30" s="7">
        <f t="shared" si="63"/>
        <v>1.24671967720836</v>
      </c>
      <c r="N30" s="8">
        <f>U14*6</f>
        <v>1846.2</v>
      </c>
      <c r="O30" s="8">
        <f t="shared" si="65"/>
        <v>25.8484543010753</v>
      </c>
      <c r="P30" s="8">
        <f>W14*8.6</f>
        <v>2906.5936</v>
      </c>
      <c r="Q30" s="8">
        <f>Y14*8.6</f>
        <v>2896.9358</v>
      </c>
      <c r="R30" s="8">
        <f>AA14*8.6</f>
        <v>1268.93</v>
      </c>
      <c r="S30" s="8">
        <f t="shared" si="69"/>
        <v>17.7661570340502</v>
      </c>
    </row>
    <row r="31" ht="20.4" spans="1:19">
      <c r="A31" s="2">
        <v>6</v>
      </c>
      <c r="B31" s="2">
        <v>384</v>
      </c>
      <c r="C31" s="2">
        <v>34432</v>
      </c>
      <c r="D31" s="2">
        <v>384</v>
      </c>
      <c r="E31" s="2">
        <v>876</v>
      </c>
      <c r="F31" s="2">
        <v>12.26</v>
      </c>
      <c r="G31" s="2">
        <v>1591</v>
      </c>
      <c r="H31" s="8">
        <f t="shared" si="58"/>
        <v>22.2754256272401</v>
      </c>
      <c r="I31" s="7">
        <f t="shared" si="59"/>
        <v>1.8162100456621</v>
      </c>
      <c r="J31" s="7">
        <f t="shared" si="60"/>
        <v>0.854714629534124</v>
      </c>
      <c r="K31" s="7">
        <f t="shared" si="61"/>
        <v>0.545408983033358</v>
      </c>
      <c r="L31" s="7">
        <f t="shared" si="62"/>
        <v>0.549189574303865</v>
      </c>
      <c r="M31" s="7">
        <f t="shared" si="63"/>
        <v>2.17059720755603</v>
      </c>
      <c r="N31" s="8">
        <f>U11*6</f>
        <v>1861.44</v>
      </c>
      <c r="O31" s="8">
        <f t="shared" si="65"/>
        <v>26.0618279569892</v>
      </c>
      <c r="P31" s="8">
        <f>W11*8.6</f>
        <v>2917.077</v>
      </c>
      <c r="Q31" s="8">
        <f>Y11*8.6</f>
        <v>2896.996</v>
      </c>
      <c r="R31" s="8">
        <f>AA11*8.6</f>
        <v>732.978</v>
      </c>
      <c r="S31" s="8">
        <f t="shared" si="69"/>
        <v>10.2623487903226</v>
      </c>
    </row>
    <row r="32" ht="20.4" spans="1:19">
      <c r="A32" s="2">
        <v>7</v>
      </c>
      <c r="B32" s="2">
        <v>384</v>
      </c>
      <c r="C32" s="2">
        <v>39040</v>
      </c>
      <c r="D32" s="2">
        <v>384</v>
      </c>
      <c r="E32" s="2">
        <v>883</v>
      </c>
      <c r="F32" s="2">
        <v>12.36</v>
      </c>
      <c r="G32" s="2">
        <v>1605</v>
      </c>
      <c r="H32" s="8">
        <f t="shared" si="58"/>
        <v>22.471438172043</v>
      </c>
      <c r="I32" s="7">
        <f t="shared" si="59"/>
        <v>1.81766704416761</v>
      </c>
      <c r="J32" s="7">
        <f t="shared" si="60"/>
        <v>0.860266923942756</v>
      </c>
      <c r="K32" s="7">
        <f t="shared" si="61"/>
        <v>0.546981520817197</v>
      </c>
      <c r="L32" s="7">
        <f t="shared" si="62"/>
        <v>0.554535777888278</v>
      </c>
      <c r="M32" s="7">
        <f t="shared" si="63"/>
        <v>2.13949222717808</v>
      </c>
      <c r="N32" s="8">
        <f>U8*6</f>
        <v>1865.7</v>
      </c>
      <c r="O32" s="8">
        <f t="shared" si="65"/>
        <v>26.1214717741936</v>
      </c>
      <c r="P32" s="8">
        <f>W8*8.6</f>
        <v>2934.2856</v>
      </c>
      <c r="Q32" s="8">
        <f>Y8*8.6</f>
        <v>2894.3128</v>
      </c>
      <c r="R32" s="8">
        <f>AA8*8.6</f>
        <v>750.178</v>
      </c>
      <c r="S32" s="8">
        <f t="shared" si="69"/>
        <v>10.503164202509</v>
      </c>
    </row>
    <row r="33" ht="20.4" spans="1:19">
      <c r="A33" s="2">
        <v>8</v>
      </c>
      <c r="B33" s="2">
        <v>384</v>
      </c>
      <c r="C33" s="2">
        <v>41344</v>
      </c>
      <c r="D33" s="2">
        <v>384</v>
      </c>
      <c r="E33" s="2">
        <v>880</v>
      </c>
      <c r="F33" s="2">
        <v>12.35</v>
      </c>
      <c r="G33" s="2">
        <v>1600</v>
      </c>
      <c r="H33" s="8">
        <f t="shared" si="58"/>
        <v>22.4014336917563</v>
      </c>
      <c r="I33" s="7">
        <f t="shared" si="59"/>
        <v>1.81818181818182</v>
      </c>
      <c r="J33" s="7">
        <f t="shared" si="60"/>
        <v>0.858968164492404</v>
      </c>
      <c r="K33" s="7">
        <f t="shared" si="61"/>
        <v>0.555782461464649</v>
      </c>
      <c r="L33" s="7">
        <f t="shared" si="62"/>
        <v>0.552243780285394</v>
      </c>
      <c r="M33" s="7">
        <f t="shared" si="63"/>
        <v>1.2871628035693</v>
      </c>
      <c r="N33" s="8">
        <f>U19*6</f>
        <v>1862.7</v>
      </c>
      <c r="O33" s="8">
        <f t="shared" si="65"/>
        <v>26.0794690860215</v>
      </c>
      <c r="P33" s="8">
        <f>W19*8.6</f>
        <v>2878.8242</v>
      </c>
      <c r="Q33" s="8">
        <f>Y19*8.6</f>
        <v>2897.2712</v>
      </c>
      <c r="R33" s="8">
        <f>AA19*8.6</f>
        <v>1243.044</v>
      </c>
      <c r="S33" s="8">
        <f t="shared" si="69"/>
        <v>17.4037298387097</v>
      </c>
    </row>
    <row r="34" ht="20.4" spans="1:19">
      <c r="A34" s="2">
        <v>9</v>
      </c>
      <c r="B34" s="2">
        <v>384</v>
      </c>
      <c r="C34" s="2">
        <v>43264</v>
      </c>
      <c r="D34" s="2">
        <v>384</v>
      </c>
      <c r="E34" s="2">
        <v>879</v>
      </c>
      <c r="F34" s="2">
        <v>12.31</v>
      </c>
      <c r="G34" s="2">
        <v>1615</v>
      </c>
      <c r="H34" s="8">
        <f t="shared" si="58"/>
        <v>22.6114471326165</v>
      </c>
      <c r="I34" s="7">
        <f t="shared" si="59"/>
        <v>1.83731513083049</v>
      </c>
      <c r="J34" s="7">
        <f t="shared" si="60"/>
        <v>0.869485630605894</v>
      </c>
      <c r="K34" s="7">
        <f t="shared" si="61"/>
        <v>0.559257079432789</v>
      </c>
      <c r="L34" s="7">
        <f t="shared" si="62"/>
        <v>0.558252913803676</v>
      </c>
      <c r="M34" s="7">
        <f t="shared" si="63"/>
        <v>2.25384898793109</v>
      </c>
      <c r="N34" s="8">
        <f>U18*6</f>
        <v>1857.42</v>
      </c>
      <c r="O34" s="8">
        <f t="shared" si="65"/>
        <v>26.0055443548387</v>
      </c>
      <c r="P34" s="8">
        <f>W18*8.6</f>
        <v>2887.7596</v>
      </c>
      <c r="Q34" s="8">
        <f>Y18*8.6</f>
        <v>2892.954</v>
      </c>
      <c r="R34" s="8">
        <f>AA18*8.6</f>
        <v>716.552</v>
      </c>
      <c r="S34" s="8">
        <f t="shared" si="69"/>
        <v>10.0323700716846</v>
      </c>
    </row>
    <row r="35" ht="20.4" spans="1:19">
      <c r="A35" s="2">
        <v>10</v>
      </c>
      <c r="B35" s="2">
        <v>384</v>
      </c>
      <c r="C35" s="2">
        <v>44416</v>
      </c>
      <c r="D35" s="2">
        <v>384</v>
      </c>
      <c r="E35" s="2">
        <v>882</v>
      </c>
      <c r="F35" s="2">
        <v>12.35</v>
      </c>
      <c r="G35" s="2">
        <v>1633</v>
      </c>
      <c r="H35" s="8">
        <f t="shared" si="58"/>
        <v>22.8634632616487</v>
      </c>
      <c r="I35" s="7">
        <f t="shared" si="59"/>
        <v>1.85147392290249</v>
      </c>
      <c r="J35" s="7">
        <f t="shared" si="60"/>
        <v>0.875781660606451</v>
      </c>
      <c r="K35" s="7">
        <f t="shared" si="61"/>
        <v>0.563461537797987</v>
      </c>
      <c r="L35" s="7">
        <f t="shared" si="62"/>
        <v>0.56344983391859</v>
      </c>
      <c r="M35" s="7">
        <f t="shared" si="63"/>
        <v>1.27250851715744</v>
      </c>
      <c r="N35" s="8">
        <f>U17*6</f>
        <v>1864.62</v>
      </c>
      <c r="O35" s="8">
        <f t="shared" si="65"/>
        <v>26.1063508064516</v>
      </c>
      <c r="P35" s="8">
        <f>W17*8.6</f>
        <v>2898.157</v>
      </c>
      <c r="Q35" s="8">
        <f>Y17*8.6</f>
        <v>2898.2172</v>
      </c>
      <c r="R35" s="8">
        <f>AA17*8.6</f>
        <v>1283.292</v>
      </c>
      <c r="S35" s="8">
        <f t="shared" si="69"/>
        <v>17.9672379032258</v>
      </c>
    </row>
    <row r="36" ht="20.4" spans="1:19">
      <c r="A36" s="2">
        <v>11</v>
      </c>
      <c r="B36" s="2">
        <v>384</v>
      </c>
      <c r="C36" s="2">
        <v>47872</v>
      </c>
      <c r="D36" s="2">
        <v>384</v>
      </c>
      <c r="E36" s="2">
        <v>886</v>
      </c>
      <c r="F36" s="2">
        <v>12.4</v>
      </c>
      <c r="G36" s="2">
        <v>1642</v>
      </c>
      <c r="H36" s="8">
        <f t="shared" si="58"/>
        <v>22.9894713261649</v>
      </c>
      <c r="I36" s="7">
        <f t="shared" si="59"/>
        <v>1.85327313769752</v>
      </c>
      <c r="J36" s="7">
        <f t="shared" si="60"/>
        <v>0.882169643049019</v>
      </c>
      <c r="K36" s="7">
        <f t="shared" si="61"/>
        <v>0.567230140606057</v>
      </c>
      <c r="L36" s="7">
        <f t="shared" si="62"/>
        <v>0.567061673586177</v>
      </c>
      <c r="M36" s="7">
        <f t="shared" si="63"/>
        <v>2.33382511377753</v>
      </c>
      <c r="N36" s="8">
        <f>U16*6</f>
        <v>1861.32</v>
      </c>
      <c r="O36" s="8">
        <f t="shared" si="65"/>
        <v>26.0601478494624</v>
      </c>
      <c r="P36" s="8">
        <f>W16*8.6</f>
        <v>2894.7686</v>
      </c>
      <c r="Q36" s="8">
        <f>Y16*8.6</f>
        <v>2895.6286</v>
      </c>
      <c r="R36" s="8">
        <f>AA16*8.6</f>
        <v>703.566</v>
      </c>
      <c r="S36" s="8">
        <f t="shared" si="69"/>
        <v>9.85055443548387</v>
      </c>
    </row>
    <row r="37" ht="20.4" spans="1:19">
      <c r="A37" s="2">
        <v>12</v>
      </c>
      <c r="B37" s="2">
        <v>384</v>
      </c>
      <c r="C37" s="2">
        <v>50944</v>
      </c>
      <c r="D37" s="2">
        <v>384</v>
      </c>
      <c r="E37" s="2">
        <v>914</v>
      </c>
      <c r="F37" s="2">
        <v>12.8</v>
      </c>
      <c r="G37" s="2">
        <v>1741</v>
      </c>
      <c r="H37" s="8">
        <f t="shared" si="58"/>
        <v>24.3755600358423</v>
      </c>
      <c r="I37" s="7">
        <f t="shared" si="59"/>
        <v>1.90481400437637</v>
      </c>
      <c r="J37" s="7">
        <f t="shared" si="60"/>
        <v>0.944061252819712</v>
      </c>
      <c r="K37" s="7">
        <f t="shared" si="61"/>
        <v>0.599774421429551</v>
      </c>
      <c r="L37" s="7">
        <f t="shared" si="62"/>
        <v>0.601088685197737</v>
      </c>
      <c r="M37" s="7">
        <f t="shared" si="63"/>
        <v>2.37747340534488</v>
      </c>
      <c r="N37" s="8">
        <f>U15*6</f>
        <v>1844.16</v>
      </c>
      <c r="O37" s="8">
        <f t="shared" si="65"/>
        <v>25.8198924731183</v>
      </c>
      <c r="P37" s="8">
        <f>W15*8.6</f>
        <v>2902.758</v>
      </c>
      <c r="Q37" s="8">
        <f>Y15*8.6</f>
        <v>2896.4112</v>
      </c>
      <c r="R37" s="8">
        <f>AA15*8.6</f>
        <v>732.29</v>
      </c>
      <c r="S37" s="8">
        <f t="shared" si="69"/>
        <v>10.2527161738351</v>
      </c>
    </row>
    <row r="38" ht="20.4" spans="1:19">
      <c r="A38" s="2">
        <v>13</v>
      </c>
      <c r="B38" s="2">
        <v>384</v>
      </c>
      <c r="C38" s="2">
        <v>56704</v>
      </c>
      <c r="D38" s="2">
        <v>384</v>
      </c>
      <c r="E38" s="2">
        <v>918</v>
      </c>
      <c r="F38" s="2">
        <v>12.85</v>
      </c>
      <c r="G38" s="2">
        <v>1749</v>
      </c>
      <c r="H38" s="8">
        <f t="shared" si="58"/>
        <v>24.4875672043011</v>
      </c>
      <c r="I38" s="7">
        <f t="shared" si="59"/>
        <v>1.90522875816993</v>
      </c>
      <c r="J38" s="7">
        <f t="shared" si="60"/>
        <v>0.947351316217095</v>
      </c>
      <c r="K38" s="7">
        <f t="shared" si="61"/>
        <v>0.601735309676592</v>
      </c>
      <c r="L38" s="7">
        <f t="shared" si="62"/>
        <v>0.603741373902729</v>
      </c>
      <c r="M38" s="7">
        <f t="shared" si="63"/>
        <v>1.37832662164186</v>
      </c>
      <c r="N38" s="8">
        <f>U14*6</f>
        <v>1846.2</v>
      </c>
      <c r="O38" s="8">
        <f t="shared" si="65"/>
        <v>25.8484543010753</v>
      </c>
      <c r="P38" s="8">
        <f>W14*8.6</f>
        <v>2906.5936</v>
      </c>
      <c r="Q38" s="8">
        <f>Y14*8.6</f>
        <v>2896.9358</v>
      </c>
      <c r="R38" s="8">
        <f>AA14*8.6</f>
        <v>1268.93</v>
      </c>
      <c r="S38" s="8">
        <f t="shared" si="69"/>
        <v>17.7661570340502</v>
      </c>
    </row>
    <row r="39" ht="20.4" spans="1:19">
      <c r="A39" s="2">
        <v>14</v>
      </c>
      <c r="B39" s="2">
        <v>384</v>
      </c>
      <c r="C39" s="2">
        <v>59008</v>
      </c>
      <c r="D39" s="2">
        <v>384</v>
      </c>
      <c r="E39" s="2">
        <v>920</v>
      </c>
      <c r="F39" s="2">
        <v>12.88</v>
      </c>
      <c r="G39" s="2">
        <v>1723</v>
      </c>
      <c r="H39" s="8">
        <f t="shared" si="58"/>
        <v>24.12354390681</v>
      </c>
      <c r="I39" s="7">
        <f t="shared" si="59"/>
        <v>1.87282608695652</v>
      </c>
      <c r="J39" s="7">
        <f t="shared" si="60"/>
        <v>0.933480696507709</v>
      </c>
      <c r="K39" s="7">
        <f t="shared" si="61"/>
        <v>0.592005405081502</v>
      </c>
      <c r="L39" s="7">
        <f t="shared" si="62"/>
        <v>0.594441670229982</v>
      </c>
      <c r="M39" s="7">
        <f t="shared" si="63"/>
        <v>1.26979868937319</v>
      </c>
      <c r="N39" s="8">
        <f>U13*6</f>
        <v>1845.78</v>
      </c>
      <c r="O39" s="8">
        <f t="shared" si="65"/>
        <v>25.8425739247312</v>
      </c>
      <c r="P39" s="8">
        <f>W13*8.6</f>
        <v>2910.4464</v>
      </c>
      <c r="Q39" s="8">
        <f>Y13*8.6</f>
        <v>2898.5182</v>
      </c>
      <c r="R39" s="8">
        <f>AA13*8.6</f>
        <v>1356.908</v>
      </c>
      <c r="S39" s="8">
        <f t="shared" si="69"/>
        <v>18.9979278673835</v>
      </c>
    </row>
    <row r="40" ht="20.4" spans="1:19">
      <c r="A40" s="2">
        <v>15</v>
      </c>
      <c r="B40" s="2">
        <v>384</v>
      </c>
      <c r="C40" s="2">
        <v>60544</v>
      </c>
      <c r="D40" s="2">
        <v>384</v>
      </c>
      <c r="E40" s="2">
        <v>899</v>
      </c>
      <c r="F40" s="2">
        <v>12.59</v>
      </c>
      <c r="G40" s="2">
        <v>1742</v>
      </c>
      <c r="H40" s="8">
        <f t="shared" si="58"/>
        <v>24.3895609318996</v>
      </c>
      <c r="I40" s="7">
        <f t="shared" si="59"/>
        <v>1.9377085650723</v>
      </c>
      <c r="J40" s="7">
        <f t="shared" si="60"/>
        <v>0.930197787175873</v>
      </c>
      <c r="K40" s="7">
        <f t="shared" si="61"/>
        <v>0.598105920094972</v>
      </c>
      <c r="L40" s="7">
        <f t="shared" si="62"/>
        <v>0.601175114442414</v>
      </c>
      <c r="M40" s="7">
        <f t="shared" si="63"/>
        <v>1.39618237892807</v>
      </c>
      <c r="N40" s="8">
        <f>U12*6</f>
        <v>1872.72</v>
      </c>
      <c r="O40" s="8">
        <f t="shared" si="65"/>
        <v>26.2197580645161</v>
      </c>
      <c r="P40" s="8">
        <f>W12*8.6</f>
        <v>2912.5276</v>
      </c>
      <c r="Q40" s="8">
        <f>Y12*8.6</f>
        <v>2897.6582</v>
      </c>
      <c r="R40" s="8">
        <f>AA12*8.6</f>
        <v>1247.688</v>
      </c>
      <c r="S40" s="8">
        <f t="shared" si="69"/>
        <v>17.46875</v>
      </c>
    </row>
    <row r="41" ht="20.4" spans="1:19">
      <c r="A41" s="2">
        <v>16</v>
      </c>
      <c r="B41" s="2">
        <v>384</v>
      </c>
      <c r="C41" s="2">
        <v>63232</v>
      </c>
      <c r="D41" s="2">
        <v>384</v>
      </c>
      <c r="E41" s="2">
        <v>891</v>
      </c>
      <c r="F41" s="2">
        <v>12.47</v>
      </c>
      <c r="G41" s="2">
        <v>1833</v>
      </c>
      <c r="H41" s="8">
        <f t="shared" si="58"/>
        <v>25.6636424731183</v>
      </c>
      <c r="I41" s="7">
        <f t="shared" si="59"/>
        <v>2.05723905723906</v>
      </c>
      <c r="J41" s="7">
        <f t="shared" si="60"/>
        <v>0.984721505930892</v>
      </c>
      <c r="K41" s="7">
        <f t="shared" si="61"/>
        <v>0.628368740352072</v>
      </c>
      <c r="L41" s="7">
        <f t="shared" si="62"/>
        <v>0.632724380703322</v>
      </c>
      <c r="M41" s="7">
        <f t="shared" si="63"/>
        <v>2.5007571850724</v>
      </c>
      <c r="N41" s="8">
        <f>U11*6</f>
        <v>1861.44</v>
      </c>
      <c r="O41" s="8">
        <f t="shared" si="65"/>
        <v>26.0618279569892</v>
      </c>
      <c r="P41" s="8">
        <f>W11*8.6</f>
        <v>2917.077</v>
      </c>
      <c r="Q41" s="8">
        <f>Y11*8.6</f>
        <v>2896.996</v>
      </c>
      <c r="R41" s="8">
        <f>AA11*8.6</f>
        <v>732.978</v>
      </c>
      <c r="S41" s="8">
        <f t="shared" si="69"/>
        <v>10.2623487903226</v>
      </c>
    </row>
    <row r="42" ht="20.4" spans="1:19">
      <c r="A42" s="2">
        <v>17</v>
      </c>
      <c r="B42" s="2">
        <v>384</v>
      </c>
      <c r="C42" s="2">
        <v>66304</v>
      </c>
      <c r="D42" s="2">
        <v>384</v>
      </c>
      <c r="E42" s="2">
        <v>892</v>
      </c>
      <c r="F42" s="2">
        <v>12.49</v>
      </c>
      <c r="G42" s="2">
        <v>1841</v>
      </c>
      <c r="H42" s="8">
        <f t="shared" si="58"/>
        <v>25.7756496415771</v>
      </c>
      <c r="I42" s="7">
        <f t="shared" si="59"/>
        <v>2.06390134529148</v>
      </c>
      <c r="J42" s="7">
        <f t="shared" si="60"/>
        <v>0.989753018719826</v>
      </c>
      <c r="K42" s="7">
        <f t="shared" si="61"/>
        <v>0.62918763503098</v>
      </c>
      <c r="L42" s="7">
        <f t="shared" si="62"/>
        <v>0.635842610268958</v>
      </c>
      <c r="M42" s="7">
        <f t="shared" si="63"/>
        <v>2.48053032956965</v>
      </c>
      <c r="N42" s="8">
        <f>U10*6</f>
        <v>1860.06</v>
      </c>
      <c r="O42" s="8">
        <f t="shared" si="65"/>
        <v>26.0425067204301</v>
      </c>
      <c r="P42" s="8">
        <f>W10*8.6</f>
        <v>2925.9952</v>
      </c>
      <c r="Q42" s="8">
        <f>Y10*8.6</f>
        <v>2895.3706</v>
      </c>
      <c r="R42" s="8">
        <f>AA10*8.6</f>
        <v>742.18</v>
      </c>
      <c r="S42" s="8">
        <f t="shared" si="69"/>
        <v>10.3911850358423</v>
      </c>
    </row>
    <row r="43" ht="20.4" spans="1:19">
      <c r="A43" s="2">
        <v>18</v>
      </c>
      <c r="B43" s="2">
        <v>384</v>
      </c>
      <c r="C43" s="2">
        <v>73216</v>
      </c>
      <c r="D43" s="2">
        <v>384</v>
      </c>
      <c r="E43" s="2">
        <v>898</v>
      </c>
      <c r="F43" s="2">
        <v>12.5</v>
      </c>
      <c r="G43" s="2">
        <v>1880</v>
      </c>
      <c r="H43" s="8">
        <f t="shared" si="58"/>
        <v>26.3216845878136</v>
      </c>
      <c r="I43" s="7">
        <f t="shared" si="59"/>
        <v>2.09354120267261</v>
      </c>
      <c r="J43" s="7">
        <f t="shared" si="60"/>
        <v>1.00685518423308</v>
      </c>
      <c r="K43" s="7">
        <f t="shared" si="61"/>
        <v>0.641635728789315</v>
      </c>
      <c r="L43" s="7">
        <f t="shared" si="62"/>
        <v>0.648876811496661</v>
      </c>
      <c r="M43" s="7">
        <f t="shared" si="63"/>
        <v>2.54843379765436</v>
      </c>
      <c r="N43" s="8">
        <f>U9*6</f>
        <v>1867.2</v>
      </c>
      <c r="O43" s="8">
        <f t="shared" si="65"/>
        <v>26.1424731182796</v>
      </c>
      <c r="P43" s="8">
        <f>W9*8.6</f>
        <v>2930.0114</v>
      </c>
      <c r="Q43" s="8">
        <f>Y9*8.6</f>
        <v>2897.3142</v>
      </c>
      <c r="R43" s="8">
        <f>AA9*8.6</f>
        <v>737.708</v>
      </c>
      <c r="S43" s="8">
        <f t="shared" si="69"/>
        <v>10.3285730286738</v>
      </c>
    </row>
    <row r="44" ht="20.4" spans="1:19">
      <c r="A44" s="2">
        <v>19</v>
      </c>
      <c r="B44" s="2">
        <v>384</v>
      </c>
      <c r="C44" s="2">
        <v>75520</v>
      </c>
      <c r="D44" s="2">
        <v>384</v>
      </c>
      <c r="E44" s="2">
        <v>900</v>
      </c>
      <c r="F44" s="2">
        <v>12.6</v>
      </c>
      <c r="G44" s="2">
        <v>1897</v>
      </c>
      <c r="H44" s="8">
        <f t="shared" si="58"/>
        <v>26.5596998207885</v>
      </c>
      <c r="I44" s="7">
        <f t="shared" si="59"/>
        <v>2.10777777777778</v>
      </c>
      <c r="J44" s="7">
        <f t="shared" si="60"/>
        <v>1.01677654499652</v>
      </c>
      <c r="K44" s="7">
        <f t="shared" si="61"/>
        <v>0.646494669775839</v>
      </c>
      <c r="L44" s="7">
        <f t="shared" si="62"/>
        <v>0.655423283896613</v>
      </c>
      <c r="M44" s="7">
        <f t="shared" si="63"/>
        <v>2.52873318065846</v>
      </c>
      <c r="N44" s="8">
        <f>U8*6</f>
        <v>1865.7</v>
      </c>
      <c r="O44" s="8">
        <f t="shared" si="65"/>
        <v>26.1214717741936</v>
      </c>
      <c r="P44" s="8">
        <f>W8*8.6</f>
        <v>2934.2856</v>
      </c>
      <c r="Q44" s="8">
        <f>Y8*8.6</f>
        <v>2894.3128</v>
      </c>
      <c r="R44" s="8">
        <f>AA8*8.6</f>
        <v>750.178</v>
      </c>
      <c r="S44" s="8">
        <f t="shared" si="69"/>
        <v>10.503164202509</v>
      </c>
    </row>
    <row r="45" ht="20.4" spans="1:19">
      <c r="A45" s="2">
        <v>20</v>
      </c>
      <c r="B45" s="2">
        <v>384</v>
      </c>
      <c r="C45" s="2">
        <v>77824</v>
      </c>
      <c r="D45" s="2">
        <v>384</v>
      </c>
      <c r="E45" s="2">
        <v>903</v>
      </c>
      <c r="F45" s="2">
        <v>12.6</v>
      </c>
      <c r="G45" s="2">
        <v>1908</v>
      </c>
      <c r="H45" s="8">
        <f t="shared" si="58"/>
        <v>26.7137096774194</v>
      </c>
      <c r="I45" s="7">
        <f t="shared" si="59"/>
        <v>2.11295681063123</v>
      </c>
      <c r="J45" s="7">
        <f t="shared" si="60"/>
        <v>1.03360852889553</v>
      </c>
      <c r="K45" s="7">
        <f t="shared" si="61"/>
        <v>0.656448231109412</v>
      </c>
      <c r="L45" s="7">
        <f t="shared" si="62"/>
        <v>0.658523342167486</v>
      </c>
      <c r="M45" s="7">
        <f t="shared" si="63"/>
        <v>2.72532495357806</v>
      </c>
      <c r="N45" s="8">
        <f>U7*6</f>
        <v>1845.96</v>
      </c>
      <c r="O45" s="8">
        <f t="shared" si="65"/>
        <v>25.8450940860215</v>
      </c>
      <c r="P45" s="8">
        <f>W7*8.6</f>
        <v>2906.5506</v>
      </c>
      <c r="Q45" s="8">
        <f>Y7*8.6</f>
        <v>2897.3916</v>
      </c>
      <c r="R45" s="8">
        <v>700.1</v>
      </c>
      <c r="S45" s="8">
        <f t="shared" si="69"/>
        <v>9.80202732974911</v>
      </c>
    </row>
    <row r="46" ht="20.4" spans="1:19">
      <c r="A46" s="2">
        <v>21</v>
      </c>
      <c r="B46" s="2">
        <v>384</v>
      </c>
      <c r="C46" s="2">
        <v>79744</v>
      </c>
      <c r="D46" s="2">
        <v>384</v>
      </c>
      <c r="E46" s="2">
        <v>904</v>
      </c>
      <c r="F46" s="2">
        <v>12.6</v>
      </c>
      <c r="G46" s="2">
        <v>1893</v>
      </c>
      <c r="H46" s="8">
        <f t="shared" si="58"/>
        <v>26.5036962365591</v>
      </c>
      <c r="I46" s="7">
        <f t="shared" si="59"/>
        <v>2.09402654867257</v>
      </c>
      <c r="J46" s="7">
        <f t="shared" si="60"/>
        <v>1.02278989853146</v>
      </c>
      <c r="K46" s="7">
        <f t="shared" si="61"/>
        <v>0.645231703625071</v>
      </c>
      <c r="L46" s="7">
        <f t="shared" si="62"/>
        <v>0.654031546501643</v>
      </c>
      <c r="M46" s="7">
        <f t="shared" si="63"/>
        <v>1.59273718574361</v>
      </c>
      <c r="N46" s="8">
        <f>U6*6</f>
        <v>1850.82</v>
      </c>
      <c r="O46" s="8">
        <f t="shared" si="65"/>
        <v>25.9131384408602</v>
      </c>
      <c r="P46" s="8">
        <f>W6*8.6</f>
        <v>2933.8298</v>
      </c>
      <c r="Q46" s="8">
        <f>Y6*8.6</f>
        <v>2894.3558</v>
      </c>
      <c r="R46" s="8">
        <f>AA6*8.6</f>
        <v>1188.52</v>
      </c>
      <c r="S46" s="8">
        <f t="shared" si="69"/>
        <v>16.6403449820789</v>
      </c>
    </row>
    <row r="47" ht="20.4" spans="1:19">
      <c r="A47" s="2">
        <v>22</v>
      </c>
      <c r="B47" s="2">
        <v>384</v>
      </c>
      <c r="C47" s="2">
        <v>81646</v>
      </c>
      <c r="D47" s="2">
        <v>384</v>
      </c>
      <c r="E47" s="2">
        <v>911</v>
      </c>
      <c r="F47" s="2">
        <v>12.7</v>
      </c>
      <c r="G47" s="2">
        <v>1911</v>
      </c>
      <c r="H47" s="8">
        <f t="shared" si="58"/>
        <v>26.7557123655914</v>
      </c>
      <c r="I47" s="7">
        <f t="shared" si="59"/>
        <v>2.09769484083425</v>
      </c>
      <c r="J47" s="7">
        <f t="shared" si="60"/>
        <v>1.01611102249163</v>
      </c>
      <c r="K47" s="7">
        <f t="shared" si="61"/>
        <v>0.650187271626399</v>
      </c>
      <c r="L47" s="7">
        <f t="shared" si="62"/>
        <v>0.660845508774963</v>
      </c>
      <c r="M47" s="7">
        <f t="shared" si="63"/>
        <v>1.39456070243242</v>
      </c>
      <c r="N47" s="8">
        <f>U5*6</f>
        <v>1880.7</v>
      </c>
      <c r="O47" s="8">
        <f t="shared" si="65"/>
        <v>26.3314852150538</v>
      </c>
      <c r="P47" s="8">
        <f>W5*8.6</f>
        <v>2939.1532</v>
      </c>
      <c r="Q47" s="8">
        <f>Y5*8.6</f>
        <v>2891.75</v>
      </c>
      <c r="R47" s="8">
        <f>AA5*8.6</f>
        <v>1370.324</v>
      </c>
      <c r="S47" s="8">
        <f t="shared" si="69"/>
        <v>19.1857638888889</v>
      </c>
    </row>
    <row r="48" ht="20.4" spans="1:19">
      <c r="A48" s="2">
        <v>23</v>
      </c>
      <c r="B48" s="2">
        <v>384</v>
      </c>
      <c r="C48" s="2">
        <v>83200</v>
      </c>
      <c r="D48" s="2">
        <v>384</v>
      </c>
      <c r="E48" s="2">
        <v>910</v>
      </c>
      <c r="F48" s="2">
        <v>12.7</v>
      </c>
      <c r="G48" s="2">
        <v>1918</v>
      </c>
      <c r="H48" s="8">
        <f t="shared" si="58"/>
        <v>26.8537186379928</v>
      </c>
      <c r="I48" s="7">
        <f t="shared" si="59"/>
        <v>2.10769230769231</v>
      </c>
      <c r="J48" s="7">
        <f t="shared" si="60"/>
        <v>1.03916086947099</v>
      </c>
      <c r="K48" s="7">
        <f t="shared" si="61"/>
        <v>0.654704887505111</v>
      </c>
      <c r="L48" s="7">
        <f t="shared" si="62"/>
        <v>0.661874529432401</v>
      </c>
      <c r="M48" s="7">
        <f t="shared" si="63"/>
        <v>2.63216400110886</v>
      </c>
      <c r="N48" s="8">
        <f>U4*6</f>
        <v>1845.72</v>
      </c>
      <c r="O48" s="8">
        <f t="shared" si="65"/>
        <v>25.8417338709677</v>
      </c>
      <c r="P48" s="8">
        <f>W4*8.6</f>
        <v>2929.5642</v>
      </c>
      <c r="Q48" s="8">
        <f>Y4*8.6</f>
        <v>2897.8302</v>
      </c>
      <c r="R48" s="8">
        <f>AA4*8.6</f>
        <v>728.678</v>
      </c>
      <c r="S48" s="8">
        <f t="shared" si="69"/>
        <v>10.202144937276</v>
      </c>
    </row>
    <row r="49" ht="20.4" spans="1:19">
      <c r="A49" s="2">
        <v>24</v>
      </c>
      <c r="B49" s="2">
        <v>384</v>
      </c>
      <c r="C49" s="2">
        <v>83584</v>
      </c>
      <c r="D49" s="2">
        <v>384</v>
      </c>
      <c r="E49" s="2">
        <v>908</v>
      </c>
      <c r="F49" s="2">
        <v>12.7</v>
      </c>
      <c r="G49" s="2">
        <v>1913</v>
      </c>
      <c r="H49" s="8">
        <f t="shared" si="58"/>
        <v>26.7837141577061</v>
      </c>
      <c r="I49" s="7">
        <f t="shared" si="59"/>
        <v>2.1068281938326</v>
      </c>
      <c r="J49" s="7">
        <f t="shared" si="60"/>
        <v>1.02370631990154</v>
      </c>
      <c r="K49" s="7">
        <f t="shared" si="61"/>
        <v>0.650251283201056</v>
      </c>
      <c r="L49" s="7">
        <f t="shared" si="62"/>
        <v>0.661360113174515</v>
      </c>
      <c r="M49" s="7">
        <f t="shared" si="63"/>
        <v>1.45748827457159</v>
      </c>
      <c r="N49" s="8">
        <f>U3*6</f>
        <v>1868.7</v>
      </c>
      <c r="O49" s="8">
        <f t="shared" si="65"/>
        <v>26.1634744623656</v>
      </c>
      <c r="P49" s="8">
        <f>W3*8.6</f>
        <v>2941.9396</v>
      </c>
      <c r="Q49" s="8">
        <f>Y3*8.6</f>
        <v>2892.524</v>
      </c>
      <c r="R49" s="8">
        <f>AA3*8.6</f>
        <v>1312.532</v>
      </c>
      <c r="S49" s="8">
        <f t="shared" si="69"/>
        <v>18.3766241039427</v>
      </c>
    </row>
    <row r="50" spans="9:13">
      <c r="I50">
        <f>SUM(I26:I49)/24</f>
        <v>1.96207914060865</v>
      </c>
      <c r="J50">
        <f>SUM(J26:J49)/24</f>
        <v>0.931148456733052</v>
      </c>
      <c r="K50" cm="1">
        <f t="array" ref="K50">SUM(K26:K49/24)</f>
        <v>0.595151048783608</v>
      </c>
      <c r="L50">
        <f>SUM(L26:L49)/24</f>
        <v>0.615197211461041</v>
      </c>
      <c r="M50">
        <f>SUM(M26:M49)/24</f>
        <v>1.87557334950265</v>
      </c>
    </row>
  </sheetData>
  <mergeCells count="3">
    <mergeCell ref="E1:R1"/>
    <mergeCell ref="U1:AH1"/>
    <mergeCell ref="AJ1:AW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53"/>
  <sheetViews>
    <sheetView zoomScale="68" zoomScaleNormal="68" topLeftCell="AV1" workbookViewId="0">
      <selection activeCell="BG3" sqref="BG3:BI3"/>
    </sheetView>
  </sheetViews>
  <sheetFormatPr defaultColWidth="9.14285714285714" defaultRowHeight="16.8"/>
  <cols>
    <col min="4" max="4" width="23.6607142857143" customWidth="1"/>
    <col min="5" max="5" width="14.2767857142857" customWidth="1"/>
    <col min="6" max="6" width="17.5535714285714" customWidth="1"/>
    <col min="7" max="7" width="20.6785714285714" customWidth="1"/>
    <col min="8" max="8" width="15.6160714285714" customWidth="1"/>
    <col min="9" max="10" width="19.1964285714286" customWidth="1"/>
    <col min="11" max="11" width="13.9821428571429" customWidth="1"/>
    <col min="12" max="12" width="13.6785714285714" customWidth="1"/>
    <col min="13" max="13" width="19.3482142857143" customWidth="1"/>
    <col min="14" max="14" width="13.6785714285714" customWidth="1"/>
    <col min="15" max="16" width="12.1964285714286" customWidth="1"/>
    <col min="17" max="17" width="17.1071428571429" customWidth="1"/>
    <col min="19" max="19" width="19.4910714285714" customWidth="1"/>
    <col min="20" max="20" width="11.4553571428571" customWidth="1"/>
    <col min="21" max="21" width="19.4910714285714" customWidth="1"/>
    <col min="22" max="22" width="11.4553571428571" customWidth="1"/>
    <col min="23" max="23" width="19.4910714285714" customWidth="1"/>
    <col min="24" max="24" width="11.3035714285714" customWidth="1"/>
    <col min="25" max="25" width="18.8928571428571" customWidth="1"/>
    <col min="26" max="26" width="10.7053571428571" customWidth="1"/>
    <col min="27" max="27" width="18.8928571428571" customWidth="1"/>
    <col min="28" max="29" width="10.8660714285714" customWidth="1"/>
    <col min="30" max="30" width="16.5089285714286" customWidth="1"/>
    <col min="31" max="32" width="16.6607142857143" customWidth="1"/>
    <col min="33" max="33" width="17.4017857142857" customWidth="1"/>
    <col min="35" max="35" width="15.1785714285714" customWidth="1"/>
    <col min="36" max="37" width="11.6071428571429" customWidth="1"/>
    <col min="38" max="39" width="11.4553571428571" customWidth="1"/>
    <col min="40" max="41" width="13.6875" customWidth="1"/>
    <col min="42" max="43" width="14.4285714285714" customWidth="1"/>
    <col min="44" max="44" width="13.9196428571429" customWidth="1"/>
    <col min="45" max="45" width="20.0803571428571" customWidth="1"/>
    <col min="46" max="47" width="16.8125" customWidth="1"/>
    <col min="48" max="48" width="18.1517857142857" customWidth="1"/>
    <col min="50" max="50" width="25.1517857142857" customWidth="1"/>
    <col min="51" max="51" width="18.5982142857143" customWidth="1"/>
    <col min="52" max="52" width="16.1964285714286" customWidth="1"/>
    <col min="53" max="53" width="11.375" customWidth="1"/>
    <col min="54" max="54" width="15.75" customWidth="1"/>
    <col min="55" max="55" width="14.8839285714286" customWidth="1"/>
    <col min="56" max="56" width="17.7232142857143" customWidth="1"/>
    <col min="57" max="57" width="19.9107142857143" customWidth="1"/>
    <col min="58" max="58" width="17.7232142857143" customWidth="1"/>
    <col min="59" max="59" width="19.25" customWidth="1"/>
    <col min="60" max="60" width="18.1607142857143" customWidth="1"/>
    <col min="61" max="61" width="19.4732142857143" customWidth="1"/>
  </cols>
  <sheetData>
    <row r="1" spans="18:50">
      <c r="R1" s="3"/>
      <c r="AH1" s="3"/>
      <c r="AX1" s="3"/>
    </row>
    <row r="2" ht="21" spans="4:63">
      <c r="D2" s="4" t="s">
        <v>10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  <c r="S2" s="12" t="s">
        <v>11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3"/>
      <c r="AI2" s="12" t="s">
        <v>12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X2" s="3"/>
      <c r="AY2" s="12" t="s">
        <v>29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ht="20.4" spans="1:61">
      <c r="A3" s="2" t="s">
        <v>0</v>
      </c>
      <c r="B3" s="2" t="s">
        <v>1</v>
      </c>
      <c r="C3" s="2" t="s">
        <v>2</v>
      </c>
      <c r="D3" s="2" t="s">
        <v>30</v>
      </c>
      <c r="E3" s="14" t="s">
        <v>31</v>
      </c>
      <c r="F3" s="2" t="s">
        <v>5</v>
      </c>
      <c r="G3" s="15" t="s">
        <v>32</v>
      </c>
      <c r="H3" s="5" t="s">
        <v>7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11"/>
      <c r="S3" s="2" t="s">
        <v>19</v>
      </c>
      <c r="T3" s="2" t="s">
        <v>23</v>
      </c>
      <c r="U3" s="2" t="s">
        <v>20</v>
      </c>
      <c r="V3" s="2" t="s">
        <v>23</v>
      </c>
      <c r="W3" s="2" t="s">
        <v>21</v>
      </c>
      <c r="X3" s="2" t="s">
        <v>23</v>
      </c>
      <c r="Y3" s="2" t="s">
        <v>22</v>
      </c>
      <c r="Z3" s="2" t="s">
        <v>23</v>
      </c>
      <c r="AA3" s="2" t="s">
        <v>24</v>
      </c>
      <c r="AB3" s="2"/>
      <c r="AC3" s="2" t="s">
        <v>23</v>
      </c>
      <c r="AD3" s="6" t="s">
        <v>15</v>
      </c>
      <c r="AE3" s="6" t="s">
        <v>16</v>
      </c>
      <c r="AF3" s="6" t="s">
        <v>17</v>
      </c>
      <c r="AG3" s="6" t="s">
        <v>18</v>
      </c>
      <c r="AH3" s="3"/>
      <c r="AI3" s="2" t="s">
        <v>19</v>
      </c>
      <c r="AJ3" s="2" t="s">
        <v>23</v>
      </c>
      <c r="AK3" s="2" t="s">
        <v>20</v>
      </c>
      <c r="AL3" s="2" t="s">
        <v>23</v>
      </c>
      <c r="AM3" s="2" t="s">
        <v>21</v>
      </c>
      <c r="AN3" s="2" t="s">
        <v>23</v>
      </c>
      <c r="AO3" s="2" t="s">
        <v>22</v>
      </c>
      <c r="AP3" s="2" t="s">
        <v>23</v>
      </c>
      <c r="AQ3" s="2" t="s">
        <v>24</v>
      </c>
      <c r="AR3" s="2" t="s">
        <v>23</v>
      </c>
      <c r="AS3" s="6" t="s">
        <v>15</v>
      </c>
      <c r="AT3" s="6" t="s">
        <v>16</v>
      </c>
      <c r="AU3" s="6" t="s">
        <v>17</v>
      </c>
      <c r="AV3" s="6" t="s">
        <v>18</v>
      </c>
      <c r="AX3" s="1" t="s">
        <v>25</v>
      </c>
      <c r="AY3" s="2" t="s">
        <v>19</v>
      </c>
      <c r="AZ3" s="2" t="s">
        <v>23</v>
      </c>
      <c r="BA3" s="2" t="s">
        <v>20</v>
      </c>
      <c r="BB3" s="2" t="s">
        <v>23</v>
      </c>
      <c r="BC3" s="2" t="s">
        <v>22</v>
      </c>
      <c r="BD3" s="2" t="s">
        <v>23</v>
      </c>
      <c r="BE3" s="2" t="s">
        <v>24</v>
      </c>
      <c r="BF3" s="2" t="s">
        <v>23</v>
      </c>
      <c r="BG3" s="6" t="s">
        <v>15</v>
      </c>
      <c r="BH3" s="6" t="s">
        <v>16</v>
      </c>
      <c r="BI3" s="6" t="s">
        <v>18</v>
      </c>
    </row>
    <row r="4" ht="20.4" spans="1:61">
      <c r="A4" s="2">
        <v>2688</v>
      </c>
      <c r="B4" s="2">
        <v>77440</v>
      </c>
      <c r="C4" s="2">
        <v>1920</v>
      </c>
      <c r="D4" s="2">
        <v>3539</v>
      </c>
      <c r="E4" s="16">
        <v>49.5</v>
      </c>
      <c r="F4" s="2">
        <v>5059</v>
      </c>
      <c r="G4" s="17">
        <v>70.8</v>
      </c>
      <c r="H4" s="5">
        <v>21.3</v>
      </c>
      <c r="I4" s="7">
        <f>F4/D4</f>
        <v>1.42949985871715</v>
      </c>
      <c r="J4" s="7">
        <f>F4/N4</f>
        <v>1.69121643893134</v>
      </c>
      <c r="K4" s="7">
        <f>F4/O4</f>
        <v>1.67180821772224</v>
      </c>
      <c r="L4" s="7">
        <f>F4/P4</f>
        <v>1.76571209783281</v>
      </c>
      <c r="M4" s="7">
        <f>F4/Q4</f>
        <v>16.9575040055776</v>
      </c>
      <c r="N4" s="8">
        <f>S4*8.6</f>
        <v>2991.338</v>
      </c>
      <c r="O4" s="8">
        <f>U4*8.6</f>
        <v>3026.0648</v>
      </c>
      <c r="P4" s="8">
        <f>W4*8.6</f>
        <v>2865.133</v>
      </c>
      <c r="Q4" s="8">
        <f>Y4*8.6</f>
        <v>298.334</v>
      </c>
      <c r="R4" s="11"/>
      <c r="S4" s="2">
        <v>347.83</v>
      </c>
      <c r="T4" s="8">
        <f>(S4/748.8)*100</f>
        <v>46.451655982906</v>
      </c>
      <c r="U4" s="2">
        <v>351.868</v>
      </c>
      <c r="V4" s="8">
        <f>U4/748.8*100</f>
        <v>46.9909188034188</v>
      </c>
      <c r="W4" s="2">
        <v>333.155</v>
      </c>
      <c r="X4" s="8">
        <f>W4/748.8*100</f>
        <v>44.4918536324786</v>
      </c>
      <c r="Y4" s="2">
        <v>34.69</v>
      </c>
      <c r="Z4" s="8">
        <f>Y4/748.8*100</f>
        <v>4.63274572649573</v>
      </c>
      <c r="AA4" s="8">
        <f>F4/9.5</f>
        <v>532.526315789474</v>
      </c>
      <c r="AB4" s="8">
        <f>F4/8.6</f>
        <v>588.255813953488</v>
      </c>
      <c r="AC4" s="8">
        <f>AA4/748.8*100</f>
        <v>71.1172964462438</v>
      </c>
      <c r="AD4" s="7">
        <f>AA4/S4</f>
        <v>1.53099593419048</v>
      </c>
      <c r="AE4" s="7">
        <f>AA4/U4</f>
        <v>1.5134263865696</v>
      </c>
      <c r="AF4" s="7">
        <f>AA4/W4</f>
        <v>1.59843410961707</v>
      </c>
      <c r="AG4" s="7">
        <f>AA4/Y4</f>
        <v>15.3510036261019</v>
      </c>
      <c r="AH4" s="3"/>
      <c r="AI4" s="8">
        <v>1060.85</v>
      </c>
      <c r="AJ4" s="8">
        <f>AI4/1728*100</f>
        <v>61.3917824074074</v>
      </c>
      <c r="AK4" s="8">
        <v>625.285</v>
      </c>
      <c r="AL4" s="8">
        <f>AK4/1728*100</f>
        <v>36.185474537037</v>
      </c>
      <c r="AM4" s="8">
        <v>605.523</v>
      </c>
      <c r="AN4" s="8">
        <f>AM4/1728*100</f>
        <v>35.0418402777778</v>
      </c>
      <c r="AO4" s="8">
        <v>136.29</v>
      </c>
      <c r="AP4" s="8">
        <f>AO4/864*100</f>
        <v>15.7743055555556</v>
      </c>
      <c r="AQ4" s="8">
        <f>F4/3.7</f>
        <v>1367.2972972973</v>
      </c>
      <c r="AR4" s="2"/>
      <c r="AS4" s="7">
        <f>AQ4/AI4</f>
        <v>1.2888695831619</v>
      </c>
      <c r="AT4" s="7">
        <f>AQ4/AK4</f>
        <v>2.18667855025676</v>
      </c>
      <c r="AU4" s="7">
        <f>AQ4/AM4</f>
        <v>2.25804353806098</v>
      </c>
      <c r="AV4" s="7">
        <f>AQ4/AO4</f>
        <v>10.0322642695524</v>
      </c>
      <c r="AX4" s="1"/>
      <c r="AY4" s="8">
        <v>999.14</v>
      </c>
      <c r="AZ4" s="8">
        <f>AY4/2039.76*100</f>
        <v>48.983213711417</v>
      </c>
      <c r="BA4" s="8">
        <v>1121.608</v>
      </c>
      <c r="BB4" s="8">
        <f>BA4/2039.76*100</f>
        <v>54.9872534023611</v>
      </c>
      <c r="BC4" s="8">
        <v>355.66</v>
      </c>
      <c r="BD4" s="8">
        <f>BC4/2039.76*100</f>
        <v>17.4363650625564</v>
      </c>
      <c r="BE4" s="8">
        <f>F4/3.5</f>
        <v>1445.42857142857</v>
      </c>
      <c r="BF4" s="8">
        <f>BE4/2039.76*100</f>
        <v>70.8626785224032</v>
      </c>
      <c r="BG4" s="7">
        <f>BE4/AY4</f>
        <v>1.44667270995914</v>
      </c>
      <c r="BH4" s="7">
        <f>BE4/BA4</f>
        <v>1.28871100369164</v>
      </c>
      <c r="BI4" s="7">
        <f>BE4/BC4</f>
        <v>4.06407403539496</v>
      </c>
    </row>
    <row r="5" ht="20.4" spans="1:61">
      <c r="A5" s="2">
        <v>2688</v>
      </c>
      <c r="B5" s="2">
        <v>83200</v>
      </c>
      <c r="C5" s="2">
        <v>1920</v>
      </c>
      <c r="D5" s="2">
        <v>3640</v>
      </c>
      <c r="E5" s="16">
        <v>50.9</v>
      </c>
      <c r="F5" s="2">
        <v>5082</v>
      </c>
      <c r="G5" s="17">
        <v>71.1</v>
      </c>
      <c r="H5" s="5">
        <v>20.2</v>
      </c>
      <c r="I5" s="7">
        <f t="shared" ref="I5:I52" si="0">F5/D5</f>
        <v>1.39615384615385</v>
      </c>
      <c r="J5" s="7">
        <f t="shared" ref="J5:J52" si="1">F5/N5</f>
        <v>1.70071442053226</v>
      </c>
      <c r="K5" s="7">
        <f t="shared" ref="K5:K52" si="2">F5/O5</f>
        <v>1.67793057078562</v>
      </c>
      <c r="L5" s="7">
        <f t="shared" ref="L5:L52" si="3">F5/P5</f>
        <v>1.74836602431474</v>
      </c>
      <c r="M5" s="7">
        <f t="shared" ref="M5:M52" si="4">F5/Q5</f>
        <v>22.4517565561603</v>
      </c>
      <c r="N5" s="8">
        <f t="shared" ref="N5:N36" si="5">S5*8.6</f>
        <v>2988.156</v>
      </c>
      <c r="O5" s="8">
        <f t="shared" ref="O5:O52" si="6">U5*8.6</f>
        <v>3028.7308</v>
      </c>
      <c r="P5" s="8">
        <f t="shared" ref="P5:P52" si="7">W5*8.6</f>
        <v>2906.714</v>
      </c>
      <c r="Q5" s="8">
        <f t="shared" ref="Q5:Q18" si="8">Y5*8.6</f>
        <v>226.352</v>
      </c>
      <c r="R5" s="11"/>
      <c r="S5" s="2">
        <v>347.46</v>
      </c>
      <c r="T5" s="8">
        <f t="shared" ref="T5:T18" si="9">(S5/748.8)*100</f>
        <v>46.4022435897436</v>
      </c>
      <c r="U5" s="2">
        <v>352.178</v>
      </c>
      <c r="V5" s="8">
        <f t="shared" ref="V5:V52" si="10">U5/748.8*100</f>
        <v>47.0323183760684</v>
      </c>
      <c r="W5" s="2">
        <v>337.99</v>
      </c>
      <c r="X5" s="8">
        <f t="shared" ref="X5:X52" si="11">W5/748.8*100</f>
        <v>45.1375534188034</v>
      </c>
      <c r="Y5" s="2">
        <v>26.32</v>
      </c>
      <c r="Z5" s="8">
        <f t="shared" ref="Z5:Z52" si="12">Y5/748.8*100</f>
        <v>3.51495726495726</v>
      </c>
      <c r="AA5" s="8">
        <f t="shared" ref="AA5:AA52" si="13">F5/9.5</f>
        <v>534.947368421053</v>
      </c>
      <c r="AB5" s="8">
        <f t="shared" ref="AB5:AB18" si="14">F5/8.6</f>
        <v>590.93023255814</v>
      </c>
      <c r="AC5" s="8">
        <f t="shared" ref="AC5:AC52" si="15">AA5/748.8*100</f>
        <v>71.440620782726</v>
      </c>
      <c r="AD5" s="7">
        <f t="shared" ref="AD5:AD52" si="16">AA5/S5</f>
        <v>1.53959410700815</v>
      </c>
      <c r="AE5" s="7">
        <f t="shared" ref="AE5:AE52" si="17">AA5/U5</f>
        <v>1.51896872723751</v>
      </c>
      <c r="AF5" s="7">
        <f t="shared" ref="AF5:AF52" si="18">AA5/W5</f>
        <v>1.58273134832703</v>
      </c>
      <c r="AG5" s="7">
        <f t="shared" ref="AG5:AG52" si="19">AA5/Y5</f>
        <v>20.3247480403135</v>
      </c>
      <c r="AH5" s="3"/>
      <c r="AI5" s="8">
        <v>1023.12</v>
      </c>
      <c r="AJ5" s="8">
        <f t="shared" ref="AJ5:AJ18" si="20">AI5/1728*100</f>
        <v>59.2083333333333</v>
      </c>
      <c r="AK5" s="8">
        <v>623.643</v>
      </c>
      <c r="AL5" s="8">
        <f t="shared" ref="AL5:AL52" si="21">AK5/1728*100</f>
        <v>36.0904513888889</v>
      </c>
      <c r="AM5" s="8">
        <v>612.706</v>
      </c>
      <c r="AN5" s="8">
        <f t="shared" ref="AN5:AN52" si="22">AM5/1728*100</f>
        <v>35.4575231481481</v>
      </c>
      <c r="AO5" s="8">
        <v>142.45</v>
      </c>
      <c r="AP5" s="8">
        <f t="shared" ref="AP5:AP52" si="23">AO5/864*100</f>
        <v>16.4872685185185</v>
      </c>
      <c r="AQ5" s="8">
        <f t="shared" ref="AQ5:AQ52" si="24">F5/3.7</f>
        <v>1373.51351351351</v>
      </c>
      <c r="AR5" s="2"/>
      <c r="AS5" s="7">
        <f t="shared" ref="AS5:AS52" si="25">AQ5/AI5</f>
        <v>1.34247548040651</v>
      </c>
      <c r="AT5" s="7">
        <f t="shared" ref="AT5:AT52" si="26">AQ5/AK5</f>
        <v>2.20240348005752</v>
      </c>
      <c r="AU5" s="7">
        <f t="shared" ref="AU5:AU52" si="27">AQ5/AM5</f>
        <v>2.24171709353836</v>
      </c>
      <c r="AV5" s="7">
        <f t="shared" ref="AV5:AV52" si="28">AQ5/AO5</f>
        <v>9.64207450693937</v>
      </c>
      <c r="AX5" s="1"/>
      <c r="AY5" s="8">
        <v>995.01</v>
      </c>
      <c r="AZ5" s="8">
        <f t="shared" ref="AZ5:AZ52" si="29">AY5/2039.76*100</f>
        <v>48.7807389104601</v>
      </c>
      <c r="BA5" s="8">
        <v>1121.206</v>
      </c>
      <c r="BB5" s="8">
        <f t="shared" ref="BB5:BB52" si="30">BA5/2039.76*100</f>
        <v>54.9675452013962</v>
      </c>
      <c r="BC5" s="8">
        <v>353.5</v>
      </c>
      <c r="BD5" s="8">
        <f t="shared" ref="BD5:BD52" si="31">BC5/2039.76*100</f>
        <v>17.3304702514021</v>
      </c>
      <c r="BE5" s="8">
        <f t="shared" ref="BE5:BE52" si="32">F5/3.5</f>
        <v>1452</v>
      </c>
      <c r="BF5" s="8">
        <f t="shared" ref="BF5:BF52" si="33">BE5/2039.76*100</f>
        <v>71.1848452759148</v>
      </c>
      <c r="BG5" s="7">
        <f t="shared" ref="BG5:BG52" si="34">BE5/AY5</f>
        <v>1.45928181626315</v>
      </c>
      <c r="BH5" s="7">
        <f t="shared" ref="BH5:BH52" si="35">BE5/BA5</f>
        <v>1.29503409721318</v>
      </c>
      <c r="BI5" s="7">
        <f t="shared" ref="BI5:BI52" si="36">BE5/BC5</f>
        <v>4.10749646393211</v>
      </c>
    </row>
    <row r="6" ht="20.4" spans="1:61">
      <c r="A6" s="2">
        <v>2688</v>
      </c>
      <c r="B6" s="2">
        <v>74368</v>
      </c>
      <c r="C6" s="2">
        <v>1920</v>
      </c>
      <c r="D6" s="2">
        <v>3537</v>
      </c>
      <c r="E6" s="16">
        <v>49.5</v>
      </c>
      <c r="F6" s="2">
        <v>4930</v>
      </c>
      <c r="G6" s="17">
        <v>69.2</v>
      </c>
      <c r="H6" s="5">
        <v>19.7</v>
      </c>
      <c r="I6" s="7">
        <f t="shared" si="0"/>
        <v>1.39383658467628</v>
      </c>
      <c r="J6" s="7">
        <f t="shared" si="1"/>
        <v>1.63815458065236</v>
      </c>
      <c r="K6" s="7">
        <f t="shared" si="2"/>
        <v>1.62652987011582</v>
      </c>
      <c r="L6" s="7">
        <f t="shared" si="3"/>
        <v>1.70254618717717</v>
      </c>
      <c r="M6" s="7">
        <f t="shared" si="4"/>
        <v>14.5718305529611</v>
      </c>
      <c r="N6" s="8">
        <f t="shared" si="5"/>
        <v>3009.484</v>
      </c>
      <c r="O6" s="8">
        <f t="shared" si="6"/>
        <v>3030.9926</v>
      </c>
      <c r="P6" s="8">
        <f t="shared" si="7"/>
        <v>2895.663</v>
      </c>
      <c r="Q6" s="8">
        <f t="shared" si="8"/>
        <v>338.324</v>
      </c>
      <c r="R6" s="11"/>
      <c r="S6" s="2">
        <v>349.94</v>
      </c>
      <c r="T6" s="8">
        <f t="shared" si="9"/>
        <v>46.7334401709402</v>
      </c>
      <c r="U6" s="2">
        <v>352.441</v>
      </c>
      <c r="V6" s="8">
        <f t="shared" si="10"/>
        <v>47.0674412393162</v>
      </c>
      <c r="W6" s="2">
        <v>336.705</v>
      </c>
      <c r="X6" s="8">
        <f t="shared" si="11"/>
        <v>44.9659455128205</v>
      </c>
      <c r="Y6" s="2">
        <v>39.34</v>
      </c>
      <c r="Z6" s="8">
        <f t="shared" si="12"/>
        <v>5.25373931623932</v>
      </c>
      <c r="AA6" s="8">
        <f t="shared" si="13"/>
        <v>518.947368421053</v>
      </c>
      <c r="AB6" s="8">
        <f t="shared" si="14"/>
        <v>573.255813953488</v>
      </c>
      <c r="AC6" s="8">
        <f t="shared" si="15"/>
        <v>69.3038686459739</v>
      </c>
      <c r="AD6" s="7">
        <f t="shared" si="16"/>
        <v>1.48296098880109</v>
      </c>
      <c r="AE6" s="7">
        <f t="shared" si="17"/>
        <v>1.47243756663116</v>
      </c>
      <c r="AF6" s="7">
        <f t="shared" si="18"/>
        <v>1.54125233786565</v>
      </c>
      <c r="AG6" s="7">
        <f t="shared" si="19"/>
        <v>13.1913413426805</v>
      </c>
      <c r="AH6" s="3"/>
      <c r="AI6" s="8">
        <v>1082.46</v>
      </c>
      <c r="AJ6" s="8">
        <f t="shared" si="20"/>
        <v>62.6423611111111</v>
      </c>
      <c r="AK6" s="8">
        <v>632.252</v>
      </c>
      <c r="AL6" s="8">
        <f t="shared" si="21"/>
        <v>36.5886574074074</v>
      </c>
      <c r="AM6" s="8">
        <v>604.497</v>
      </c>
      <c r="AN6" s="8">
        <f t="shared" si="22"/>
        <v>34.9824652777778</v>
      </c>
      <c r="AO6" s="8">
        <v>135.91</v>
      </c>
      <c r="AP6" s="8">
        <f t="shared" si="23"/>
        <v>15.7303240740741</v>
      </c>
      <c r="AQ6" s="8">
        <f t="shared" si="24"/>
        <v>1332.43243243243</v>
      </c>
      <c r="AR6" s="2"/>
      <c r="AS6" s="7">
        <f t="shared" si="25"/>
        <v>1.23092994885024</v>
      </c>
      <c r="AT6" s="7">
        <f t="shared" si="26"/>
        <v>2.10743885734238</v>
      </c>
      <c r="AU6" s="7">
        <f t="shared" si="27"/>
        <v>2.2042002399225</v>
      </c>
      <c r="AV6" s="7">
        <f t="shared" si="28"/>
        <v>9.80378509625806</v>
      </c>
      <c r="AX6" s="1"/>
      <c r="AY6" s="8">
        <v>1005.12</v>
      </c>
      <c r="AZ6" s="8">
        <f t="shared" si="29"/>
        <v>49.2763854571126</v>
      </c>
      <c r="BA6" s="8">
        <v>1115.654</v>
      </c>
      <c r="BB6" s="8">
        <f t="shared" si="30"/>
        <v>54.6953563164294</v>
      </c>
      <c r="BC6" s="8">
        <v>362.11</v>
      </c>
      <c r="BD6" s="8">
        <f t="shared" si="31"/>
        <v>17.7525787347531</v>
      </c>
      <c r="BE6" s="8">
        <f t="shared" si="32"/>
        <v>1408.57142857143</v>
      </c>
      <c r="BF6" s="8">
        <f t="shared" si="33"/>
        <v>69.0557432527076</v>
      </c>
      <c r="BG6" s="7">
        <f t="shared" si="34"/>
        <v>1.40139627961978</v>
      </c>
      <c r="BH6" s="7">
        <f t="shared" si="35"/>
        <v>1.26255221472914</v>
      </c>
      <c r="BI6" s="7">
        <f t="shared" si="36"/>
        <v>3.8898992808026</v>
      </c>
    </row>
    <row r="7" ht="20.4" spans="1:61">
      <c r="A7" s="2">
        <v>2688</v>
      </c>
      <c r="B7" s="2">
        <v>80128</v>
      </c>
      <c r="C7" s="2">
        <v>1920</v>
      </c>
      <c r="D7" s="2">
        <v>3651</v>
      </c>
      <c r="E7" s="16">
        <v>51.1</v>
      </c>
      <c r="F7" s="2">
        <v>5098</v>
      </c>
      <c r="G7" s="17">
        <v>71.3</v>
      </c>
      <c r="H7" s="5">
        <v>20.2</v>
      </c>
      <c r="I7" s="7">
        <f t="shared" si="0"/>
        <v>1.39632977266502</v>
      </c>
      <c r="J7" s="7">
        <f t="shared" si="1"/>
        <v>1.70029456652828</v>
      </c>
      <c r="K7" s="7">
        <f t="shared" si="2"/>
        <v>1.67986958043527</v>
      </c>
      <c r="L7" s="7">
        <f t="shared" si="3"/>
        <v>1.76914423668471</v>
      </c>
      <c r="M7" s="7">
        <f t="shared" si="4"/>
        <v>22.6342381700809</v>
      </c>
      <c r="N7" s="8">
        <f t="shared" si="5"/>
        <v>2998.304</v>
      </c>
      <c r="O7" s="8">
        <f t="shared" si="6"/>
        <v>3034.7594</v>
      </c>
      <c r="P7" s="8">
        <f t="shared" si="7"/>
        <v>2881.6192</v>
      </c>
      <c r="Q7" s="8">
        <f t="shared" si="8"/>
        <v>225.234</v>
      </c>
      <c r="R7" s="11"/>
      <c r="S7" s="2">
        <v>348.64</v>
      </c>
      <c r="T7" s="8">
        <f t="shared" si="9"/>
        <v>46.5598290598291</v>
      </c>
      <c r="U7" s="2">
        <v>352.879</v>
      </c>
      <c r="V7" s="8">
        <f t="shared" si="10"/>
        <v>47.1259348290598</v>
      </c>
      <c r="W7" s="2">
        <v>335.072</v>
      </c>
      <c r="X7" s="8">
        <f t="shared" si="11"/>
        <v>44.7478632478633</v>
      </c>
      <c r="Y7" s="2">
        <v>26.19</v>
      </c>
      <c r="Z7" s="8">
        <f t="shared" si="12"/>
        <v>3.49759615384615</v>
      </c>
      <c r="AA7" s="8">
        <f t="shared" si="13"/>
        <v>536.631578947368</v>
      </c>
      <c r="AB7" s="8">
        <f t="shared" si="14"/>
        <v>592.790697674419</v>
      </c>
      <c r="AC7" s="8">
        <f t="shared" si="15"/>
        <v>71.6655420602789</v>
      </c>
      <c r="AD7" s="7">
        <f t="shared" si="16"/>
        <v>1.53921402864665</v>
      </c>
      <c r="AE7" s="7">
        <f t="shared" si="17"/>
        <v>1.52072404123614</v>
      </c>
      <c r="AF7" s="7">
        <f t="shared" si="18"/>
        <v>1.60154109847247</v>
      </c>
      <c r="AG7" s="7">
        <f t="shared" si="19"/>
        <v>20.489941922389</v>
      </c>
      <c r="AH7" s="3"/>
      <c r="AI7" s="8">
        <v>1022.64</v>
      </c>
      <c r="AJ7" s="8">
        <f t="shared" si="20"/>
        <v>59.1805555555556</v>
      </c>
      <c r="AK7" s="8">
        <v>619.833</v>
      </c>
      <c r="AL7" s="8">
        <f t="shared" si="21"/>
        <v>35.8699652777778</v>
      </c>
      <c r="AM7" s="8">
        <v>614.216</v>
      </c>
      <c r="AN7" s="8">
        <f t="shared" si="22"/>
        <v>35.5449074074074</v>
      </c>
      <c r="AO7" s="8">
        <v>143.72</v>
      </c>
      <c r="AP7" s="8">
        <f t="shared" si="23"/>
        <v>16.6342592592593</v>
      </c>
      <c r="AQ7" s="8">
        <f t="shared" si="24"/>
        <v>1377.83783783784</v>
      </c>
      <c r="AR7" s="2"/>
      <c r="AS7" s="7">
        <f t="shared" si="25"/>
        <v>1.34733419173691</v>
      </c>
      <c r="AT7" s="7">
        <f t="shared" si="26"/>
        <v>2.22291784696497</v>
      </c>
      <c r="AU7" s="7">
        <f t="shared" si="27"/>
        <v>2.24324641142178</v>
      </c>
      <c r="AV7" s="7">
        <f t="shared" si="28"/>
        <v>9.58695962870747</v>
      </c>
      <c r="AX7" s="1"/>
      <c r="AY7" s="8">
        <v>1006.42</v>
      </c>
      <c r="AZ7" s="8">
        <f t="shared" si="29"/>
        <v>49.3401184453073</v>
      </c>
      <c r="BA7" s="8">
        <v>1115.803</v>
      </c>
      <c r="BB7" s="8">
        <f t="shared" si="30"/>
        <v>54.702661097384</v>
      </c>
      <c r="BC7" s="8">
        <v>354.04</v>
      </c>
      <c r="BD7" s="8">
        <f t="shared" si="31"/>
        <v>17.3569439541907</v>
      </c>
      <c r="BE7" s="8">
        <f t="shared" si="32"/>
        <v>1456.57142857143</v>
      </c>
      <c r="BF7" s="8">
        <f t="shared" si="33"/>
        <v>71.4089612783577</v>
      </c>
      <c r="BG7" s="7">
        <f t="shared" si="34"/>
        <v>1.44727989166693</v>
      </c>
      <c r="BH7" s="7">
        <f t="shared" si="35"/>
        <v>1.30540196483737</v>
      </c>
      <c r="BI7" s="7">
        <f t="shared" si="36"/>
        <v>4.1141436802944</v>
      </c>
    </row>
    <row r="8" ht="20.4" spans="1:61">
      <c r="A8" s="2">
        <v>2688</v>
      </c>
      <c r="B8" s="2">
        <v>31360</v>
      </c>
      <c r="C8" s="2">
        <v>1920</v>
      </c>
      <c r="D8" s="2">
        <v>3223</v>
      </c>
      <c r="E8" s="16">
        <v>45.1</v>
      </c>
      <c r="F8" s="2">
        <v>4477</v>
      </c>
      <c r="G8" s="17">
        <v>62.2</v>
      </c>
      <c r="H8" s="5">
        <v>17.1</v>
      </c>
      <c r="I8" s="7">
        <f t="shared" si="0"/>
        <v>1.38907849829352</v>
      </c>
      <c r="J8" s="7">
        <f t="shared" si="1"/>
        <v>1.50287651303108</v>
      </c>
      <c r="K8" s="7">
        <f t="shared" si="2"/>
        <v>1.47720381189194</v>
      </c>
      <c r="L8" s="7">
        <f t="shared" si="3"/>
        <v>1.54306690423762</v>
      </c>
      <c r="M8" s="7">
        <f t="shared" si="4"/>
        <v>14.2781512712243</v>
      </c>
      <c r="N8" s="8">
        <f t="shared" si="5"/>
        <v>2978.954</v>
      </c>
      <c r="O8" s="8">
        <f t="shared" si="6"/>
        <v>3030.726</v>
      </c>
      <c r="P8" s="8">
        <f t="shared" si="7"/>
        <v>2901.3648</v>
      </c>
      <c r="Q8" s="8">
        <f t="shared" si="8"/>
        <v>313.556</v>
      </c>
      <c r="R8" s="11"/>
      <c r="S8" s="2">
        <v>346.39</v>
      </c>
      <c r="T8" s="8">
        <f t="shared" si="9"/>
        <v>46.2593482905983</v>
      </c>
      <c r="U8" s="2">
        <v>352.41</v>
      </c>
      <c r="V8" s="8">
        <f t="shared" si="10"/>
        <v>47.0633012820513</v>
      </c>
      <c r="W8" s="2">
        <v>337.368</v>
      </c>
      <c r="X8" s="8">
        <f t="shared" si="11"/>
        <v>45.0544871794872</v>
      </c>
      <c r="Y8" s="2">
        <v>36.46</v>
      </c>
      <c r="Z8" s="8">
        <f t="shared" si="12"/>
        <v>4.86912393162393</v>
      </c>
      <c r="AA8" s="8">
        <f t="shared" si="13"/>
        <v>471.263157894737</v>
      </c>
      <c r="AB8" s="8">
        <f t="shared" si="14"/>
        <v>520.581395348837</v>
      </c>
      <c r="AC8" s="8">
        <f t="shared" si="15"/>
        <v>62.9357849752587</v>
      </c>
      <c r="AD8" s="7">
        <f t="shared" si="16"/>
        <v>1.36049873811235</v>
      </c>
      <c r="AE8" s="7">
        <f t="shared" si="17"/>
        <v>1.33725818760744</v>
      </c>
      <c r="AF8" s="7">
        <f t="shared" si="18"/>
        <v>1.396881618573</v>
      </c>
      <c r="AG8" s="7">
        <f t="shared" si="19"/>
        <v>12.9254843086872</v>
      </c>
      <c r="AH8" s="3"/>
      <c r="AI8" s="8">
        <v>1073.52</v>
      </c>
      <c r="AJ8" s="8">
        <f t="shared" si="20"/>
        <v>62.125</v>
      </c>
      <c r="AK8" s="8">
        <v>626.234</v>
      </c>
      <c r="AL8" s="8">
        <f t="shared" si="21"/>
        <v>36.2403935185185</v>
      </c>
      <c r="AM8" s="8">
        <v>604.718</v>
      </c>
      <c r="AN8" s="8">
        <f t="shared" si="22"/>
        <v>34.9952546296296</v>
      </c>
      <c r="AO8" s="8">
        <v>134.45</v>
      </c>
      <c r="AP8" s="8">
        <f t="shared" si="23"/>
        <v>15.5613425925926</v>
      </c>
      <c r="AQ8" s="8">
        <f t="shared" si="24"/>
        <v>1210</v>
      </c>
      <c r="AR8" s="2"/>
      <c r="AS8" s="7">
        <f t="shared" si="25"/>
        <v>1.12713316938669</v>
      </c>
      <c r="AT8" s="7">
        <f t="shared" si="26"/>
        <v>1.9321850937509</v>
      </c>
      <c r="AU8" s="7">
        <f t="shared" si="27"/>
        <v>2.00093266613529</v>
      </c>
      <c r="AV8" s="7">
        <f t="shared" si="28"/>
        <v>8.99962811454072</v>
      </c>
      <c r="AX8" s="1"/>
      <c r="AY8" s="8">
        <v>993.66</v>
      </c>
      <c r="AZ8" s="8">
        <f t="shared" si="29"/>
        <v>48.7145546534886</v>
      </c>
      <c r="BA8" s="8">
        <v>1148.557</v>
      </c>
      <c r="BB8" s="8">
        <f t="shared" si="30"/>
        <v>56.308438247637</v>
      </c>
      <c r="BC8" s="8">
        <v>367.95</v>
      </c>
      <c r="BD8" s="8">
        <f t="shared" si="31"/>
        <v>18.0388869278739</v>
      </c>
      <c r="BE8" s="8">
        <f t="shared" si="32"/>
        <v>1279.14285714286</v>
      </c>
      <c r="BF8" s="8">
        <f t="shared" si="33"/>
        <v>62.710458933544</v>
      </c>
      <c r="BG8" s="7">
        <f t="shared" si="34"/>
        <v>1.28730436682855</v>
      </c>
      <c r="BH8" s="7">
        <f t="shared" si="35"/>
        <v>1.11369558249426</v>
      </c>
      <c r="BI8" s="7">
        <f t="shared" si="36"/>
        <v>3.47640401452061</v>
      </c>
    </row>
    <row r="9" ht="20.4" spans="1:61">
      <c r="A9" s="2">
        <v>2688</v>
      </c>
      <c r="B9" s="2">
        <v>47104</v>
      </c>
      <c r="C9" s="2">
        <v>1920</v>
      </c>
      <c r="D9" s="2">
        <v>3614</v>
      </c>
      <c r="E9" s="16">
        <v>50.6</v>
      </c>
      <c r="F9" s="2">
        <v>4705</v>
      </c>
      <c r="G9" s="17">
        <v>65.8</v>
      </c>
      <c r="H9" s="5">
        <v>15.2</v>
      </c>
      <c r="I9" s="7">
        <f t="shared" si="0"/>
        <v>1.30188157166574</v>
      </c>
      <c r="J9" s="7">
        <f t="shared" si="1"/>
        <v>1.59071038657812</v>
      </c>
      <c r="K9" s="7">
        <f t="shared" si="2"/>
        <v>1.54137196322696</v>
      </c>
      <c r="L9" s="7">
        <f t="shared" si="3"/>
        <v>1.66374124025209</v>
      </c>
      <c r="M9" s="7">
        <f t="shared" si="4"/>
        <v>22.9581629566015</v>
      </c>
      <c r="N9" s="8">
        <f t="shared" si="5"/>
        <v>2957.798</v>
      </c>
      <c r="O9" s="8">
        <f t="shared" si="6"/>
        <v>3052.4754</v>
      </c>
      <c r="P9" s="8">
        <f t="shared" si="7"/>
        <v>2827.9638</v>
      </c>
      <c r="Q9" s="8">
        <f t="shared" si="8"/>
        <v>204.938</v>
      </c>
      <c r="R9" s="11"/>
      <c r="S9" s="2">
        <v>343.93</v>
      </c>
      <c r="T9" s="8">
        <f t="shared" si="9"/>
        <v>45.9308226495727</v>
      </c>
      <c r="U9" s="2">
        <v>354.939</v>
      </c>
      <c r="V9" s="8">
        <f t="shared" si="10"/>
        <v>47.4010416666667</v>
      </c>
      <c r="W9" s="2">
        <v>328.833</v>
      </c>
      <c r="X9" s="8">
        <f t="shared" si="11"/>
        <v>43.9146634615385</v>
      </c>
      <c r="Y9" s="2">
        <v>23.83</v>
      </c>
      <c r="Z9" s="8">
        <f t="shared" si="12"/>
        <v>3.18242521367521</v>
      </c>
      <c r="AA9" s="8">
        <f t="shared" si="13"/>
        <v>495.263157894737</v>
      </c>
      <c r="AB9" s="8">
        <f t="shared" si="14"/>
        <v>547.093023255814</v>
      </c>
      <c r="AC9" s="8">
        <f t="shared" si="15"/>
        <v>66.1409131803869</v>
      </c>
      <c r="AD9" s="7">
        <f t="shared" si="16"/>
        <v>1.44001150784967</v>
      </c>
      <c r="AE9" s="7">
        <f t="shared" si="17"/>
        <v>1.39534725092125</v>
      </c>
      <c r="AF9" s="7">
        <f t="shared" si="18"/>
        <v>1.50612364907031</v>
      </c>
      <c r="AG9" s="7">
        <f t="shared" si="19"/>
        <v>20.783179097555</v>
      </c>
      <c r="AH9" s="3"/>
      <c r="AI9" s="8">
        <v>1042.98</v>
      </c>
      <c r="AJ9" s="8">
        <f t="shared" si="20"/>
        <v>60.3576388888889</v>
      </c>
      <c r="AK9" s="8">
        <v>636.349</v>
      </c>
      <c r="AL9" s="8">
        <f t="shared" si="21"/>
        <v>36.8257523148148</v>
      </c>
      <c r="AM9" s="8">
        <v>607.961</v>
      </c>
      <c r="AN9" s="8">
        <f t="shared" si="22"/>
        <v>35.1829282407407</v>
      </c>
      <c r="AO9" s="8">
        <v>151.23</v>
      </c>
      <c r="AP9" s="8">
        <f t="shared" si="23"/>
        <v>17.5034722222222</v>
      </c>
      <c r="AQ9" s="8">
        <f t="shared" si="24"/>
        <v>1271.62162162162</v>
      </c>
      <c r="AR9" s="2"/>
      <c r="AS9" s="7">
        <f t="shared" si="25"/>
        <v>1.21921956472955</v>
      </c>
      <c r="AT9" s="7">
        <f t="shared" si="26"/>
        <v>1.99830850935826</v>
      </c>
      <c r="AU9" s="7">
        <f t="shared" si="27"/>
        <v>2.09161709652695</v>
      </c>
      <c r="AV9" s="7">
        <f t="shared" si="28"/>
        <v>8.40852755155473</v>
      </c>
      <c r="AX9" s="1"/>
      <c r="AY9" s="8">
        <v>966.53</v>
      </c>
      <c r="AZ9" s="8">
        <f t="shared" si="29"/>
        <v>47.384496215241</v>
      </c>
      <c r="BA9" s="8">
        <v>1143.635</v>
      </c>
      <c r="BB9" s="8">
        <f t="shared" si="30"/>
        <v>56.0671353492568</v>
      </c>
      <c r="BC9" s="8">
        <v>359.96</v>
      </c>
      <c r="BD9" s="8">
        <f t="shared" si="31"/>
        <v>17.6471741773542</v>
      </c>
      <c r="BE9" s="8">
        <f t="shared" si="32"/>
        <v>1344.28571428571</v>
      </c>
      <c r="BF9" s="8">
        <f t="shared" si="33"/>
        <v>65.9041119683548</v>
      </c>
      <c r="BG9" s="7">
        <f t="shared" si="34"/>
        <v>1.39083702966873</v>
      </c>
      <c r="BH9" s="7">
        <f t="shared" si="35"/>
        <v>1.1754499593714</v>
      </c>
      <c r="BI9" s="7">
        <f t="shared" si="36"/>
        <v>3.73454193323068</v>
      </c>
    </row>
    <row r="10" ht="20.4" spans="1:61">
      <c r="A10" s="2">
        <v>2688</v>
      </c>
      <c r="B10" s="2">
        <v>44416</v>
      </c>
      <c r="C10" s="2">
        <v>1920</v>
      </c>
      <c r="D10" s="2">
        <v>3525</v>
      </c>
      <c r="E10" s="16">
        <v>49.3</v>
      </c>
      <c r="F10" s="2">
        <v>4285</v>
      </c>
      <c r="G10" s="17">
        <v>56</v>
      </c>
      <c r="H10" s="5">
        <v>6.7</v>
      </c>
      <c r="I10" s="7">
        <f t="shared" si="0"/>
        <v>1.21560283687943</v>
      </c>
      <c r="J10" s="7">
        <f t="shared" si="1"/>
        <v>1.43676522954378</v>
      </c>
      <c r="K10" s="7">
        <f t="shared" si="2"/>
        <v>1.41642094986081</v>
      </c>
      <c r="L10" s="7">
        <f t="shared" si="3"/>
        <v>1.49106066504716</v>
      </c>
      <c r="M10" s="7">
        <f t="shared" si="4"/>
        <v>13.4992092645215</v>
      </c>
      <c r="N10" s="8">
        <f t="shared" si="5"/>
        <v>2982.394</v>
      </c>
      <c r="O10" s="8">
        <f t="shared" si="6"/>
        <v>3025.2306</v>
      </c>
      <c r="P10" s="8">
        <f t="shared" si="7"/>
        <v>2873.7932</v>
      </c>
      <c r="Q10" s="8">
        <f t="shared" si="8"/>
        <v>317.426</v>
      </c>
      <c r="R10" s="11"/>
      <c r="S10" s="2">
        <v>346.79</v>
      </c>
      <c r="T10" s="8">
        <f t="shared" si="9"/>
        <v>46.3127670940171</v>
      </c>
      <c r="U10" s="2">
        <v>351.771</v>
      </c>
      <c r="V10" s="8">
        <f t="shared" si="10"/>
        <v>46.9779647435898</v>
      </c>
      <c r="W10" s="2">
        <v>334.162</v>
      </c>
      <c r="X10" s="8">
        <f t="shared" si="11"/>
        <v>44.6263354700855</v>
      </c>
      <c r="Y10" s="2">
        <v>36.91</v>
      </c>
      <c r="Z10" s="8">
        <f t="shared" si="12"/>
        <v>4.92922008547009</v>
      </c>
      <c r="AA10" s="8">
        <f t="shared" si="13"/>
        <v>451.052631578947</v>
      </c>
      <c r="AB10" s="8">
        <f t="shared" si="14"/>
        <v>498.255813953488</v>
      </c>
      <c r="AC10" s="8">
        <f t="shared" si="15"/>
        <v>60.2367296446244</v>
      </c>
      <c r="AD10" s="7">
        <f t="shared" si="16"/>
        <v>1.30065062885016</v>
      </c>
      <c r="AE10" s="7">
        <f t="shared" si="17"/>
        <v>1.28223370197926</v>
      </c>
      <c r="AF10" s="7">
        <f t="shared" si="18"/>
        <v>1.34980228625322</v>
      </c>
      <c r="AG10" s="7">
        <f t="shared" si="19"/>
        <v>12.2203368078826</v>
      </c>
      <c r="AH10" s="3"/>
      <c r="AI10" s="8">
        <v>1021.03</v>
      </c>
      <c r="AJ10" s="8">
        <f t="shared" si="20"/>
        <v>59.0873842592593</v>
      </c>
      <c r="AK10" s="8">
        <v>625.681</v>
      </c>
      <c r="AL10" s="8">
        <f t="shared" si="21"/>
        <v>36.2083912037037</v>
      </c>
      <c r="AM10" s="8">
        <v>608.998</v>
      </c>
      <c r="AN10" s="8">
        <f t="shared" si="22"/>
        <v>35.2429398148148</v>
      </c>
      <c r="AO10" s="8">
        <v>134.31</v>
      </c>
      <c r="AP10" s="8">
        <f t="shared" si="23"/>
        <v>15.5451388888889</v>
      </c>
      <c r="AQ10" s="8">
        <f t="shared" si="24"/>
        <v>1158.10810810811</v>
      </c>
      <c r="AR10" s="2"/>
      <c r="AS10" s="7">
        <f t="shared" si="25"/>
        <v>1.13425473111281</v>
      </c>
      <c r="AT10" s="7">
        <f t="shared" si="26"/>
        <v>1.85095617112891</v>
      </c>
      <c r="AU10" s="7">
        <f t="shared" si="27"/>
        <v>1.90166159512528</v>
      </c>
      <c r="AV10" s="7">
        <f t="shared" si="28"/>
        <v>8.62264990029118</v>
      </c>
      <c r="AX10" s="1"/>
      <c r="AY10" s="8">
        <v>995.35</v>
      </c>
      <c r="AZ10" s="8">
        <f t="shared" si="29"/>
        <v>48.7974075381417</v>
      </c>
      <c r="BA10" s="8">
        <v>1147.93</v>
      </c>
      <c r="BB10" s="8">
        <f t="shared" si="30"/>
        <v>56.2776993371769</v>
      </c>
      <c r="BC10" s="8">
        <v>365.04</v>
      </c>
      <c r="BD10" s="8">
        <f t="shared" si="31"/>
        <v>17.8962230850688</v>
      </c>
      <c r="BE10" s="8">
        <f t="shared" si="32"/>
        <v>1224.28571428571</v>
      </c>
      <c r="BF10" s="8">
        <f t="shared" si="33"/>
        <v>60.0210669042296</v>
      </c>
      <c r="BG10" s="7">
        <f t="shared" si="34"/>
        <v>1.23000523864542</v>
      </c>
      <c r="BH10" s="7">
        <f t="shared" si="35"/>
        <v>1.0665160020957</v>
      </c>
      <c r="BI10" s="7">
        <f t="shared" si="36"/>
        <v>3.35383989230143</v>
      </c>
    </row>
    <row r="11" ht="20.4" spans="1:61">
      <c r="A11" s="2">
        <v>2688</v>
      </c>
      <c r="B11" s="2">
        <v>83968</v>
      </c>
      <c r="C11" s="2">
        <v>1920</v>
      </c>
      <c r="D11" s="2">
        <v>3606</v>
      </c>
      <c r="E11" s="16">
        <v>50.4</v>
      </c>
      <c r="F11" s="2">
        <v>5026</v>
      </c>
      <c r="G11" s="17">
        <v>70.3</v>
      </c>
      <c r="H11" s="5">
        <v>19.9</v>
      </c>
      <c r="I11" s="7">
        <f t="shared" si="0"/>
        <v>1.39378813089296</v>
      </c>
      <c r="J11" s="7">
        <f t="shared" si="1"/>
        <v>1.69357425713215</v>
      </c>
      <c r="K11" s="7">
        <f t="shared" si="2"/>
        <v>1.65275819891053</v>
      </c>
      <c r="L11" s="7">
        <f t="shared" si="3"/>
        <v>1.73845633517217</v>
      </c>
      <c r="M11" s="7">
        <f t="shared" si="4"/>
        <v>24.0007640513825</v>
      </c>
      <c r="N11" s="8">
        <f t="shared" si="5"/>
        <v>2967.688</v>
      </c>
      <c r="O11" s="8">
        <f t="shared" si="6"/>
        <v>3040.9772</v>
      </c>
      <c r="P11" s="8">
        <f t="shared" si="7"/>
        <v>2891.0706</v>
      </c>
      <c r="Q11" s="8">
        <f t="shared" si="8"/>
        <v>209.41</v>
      </c>
      <c r="R11" s="11"/>
      <c r="S11" s="2">
        <v>345.08</v>
      </c>
      <c r="T11" s="8">
        <f t="shared" si="9"/>
        <v>46.0844017094017</v>
      </c>
      <c r="U11" s="2">
        <v>353.602</v>
      </c>
      <c r="V11" s="8">
        <f t="shared" si="10"/>
        <v>47.2224893162393</v>
      </c>
      <c r="W11" s="2">
        <v>336.171</v>
      </c>
      <c r="X11" s="8">
        <f t="shared" si="11"/>
        <v>44.8946314102564</v>
      </c>
      <c r="Y11" s="2">
        <v>24.35</v>
      </c>
      <c r="Z11" s="8">
        <f t="shared" si="12"/>
        <v>3.25186965811966</v>
      </c>
      <c r="AA11" s="8">
        <f t="shared" si="13"/>
        <v>529.052631578947</v>
      </c>
      <c r="AB11" s="8">
        <f t="shared" si="14"/>
        <v>584.418604651163</v>
      </c>
      <c r="AC11" s="8">
        <f t="shared" si="15"/>
        <v>70.6533963112911</v>
      </c>
      <c r="AD11" s="7">
        <f t="shared" si="16"/>
        <v>1.53313038014068</v>
      </c>
      <c r="AE11" s="7">
        <f t="shared" si="17"/>
        <v>1.49618110638217</v>
      </c>
      <c r="AF11" s="7">
        <f t="shared" si="18"/>
        <v>1.57376047184007</v>
      </c>
      <c r="AG11" s="7">
        <f t="shared" si="19"/>
        <v>21.727007457041</v>
      </c>
      <c r="AH11" s="3"/>
      <c r="AI11" s="8">
        <v>1053.3</v>
      </c>
      <c r="AJ11" s="8">
        <f t="shared" si="20"/>
        <v>60.9548611111111</v>
      </c>
      <c r="AK11" s="8">
        <v>615.049</v>
      </c>
      <c r="AL11" s="8">
        <f t="shared" si="21"/>
        <v>35.5931134259259</v>
      </c>
      <c r="AM11" s="8">
        <v>604.845</v>
      </c>
      <c r="AN11" s="8">
        <f t="shared" si="22"/>
        <v>35.0026041666667</v>
      </c>
      <c r="AO11" s="8">
        <v>150.04</v>
      </c>
      <c r="AP11" s="8">
        <f t="shared" si="23"/>
        <v>17.3657407407407</v>
      </c>
      <c r="AQ11" s="8">
        <f t="shared" si="24"/>
        <v>1358.37837837838</v>
      </c>
      <c r="AR11" s="2"/>
      <c r="AS11" s="7">
        <f t="shared" si="25"/>
        <v>1.28964053771801</v>
      </c>
      <c r="AT11" s="7">
        <f t="shared" si="26"/>
        <v>2.20856936338142</v>
      </c>
      <c r="AU11" s="7">
        <f t="shared" si="27"/>
        <v>2.24582889563174</v>
      </c>
      <c r="AV11" s="7">
        <f t="shared" si="28"/>
        <v>9.05344160476125</v>
      </c>
      <c r="AX11" s="1"/>
      <c r="AY11" s="8">
        <v>965.94</v>
      </c>
      <c r="AZ11" s="8">
        <f t="shared" si="29"/>
        <v>47.3555712436757</v>
      </c>
      <c r="BA11" s="8">
        <v>1114.655</v>
      </c>
      <c r="BB11" s="8">
        <f t="shared" si="30"/>
        <v>54.6463799662705</v>
      </c>
      <c r="BC11" s="8">
        <v>364.53</v>
      </c>
      <c r="BD11" s="8">
        <f t="shared" si="31"/>
        <v>17.8712201435463</v>
      </c>
      <c r="BE11" s="8">
        <f t="shared" si="32"/>
        <v>1436</v>
      </c>
      <c r="BF11" s="8">
        <f t="shared" si="33"/>
        <v>70.4004392673648</v>
      </c>
      <c r="BG11" s="7">
        <f t="shared" si="34"/>
        <v>1.4866347806282</v>
      </c>
      <c r="BH11" s="7">
        <f t="shared" si="35"/>
        <v>1.28829099586868</v>
      </c>
      <c r="BI11" s="7">
        <f t="shared" si="36"/>
        <v>3.9393191232546</v>
      </c>
    </row>
    <row r="12" ht="20.4" spans="1:61">
      <c r="A12" s="2">
        <v>2688</v>
      </c>
      <c r="B12" s="2">
        <v>82048</v>
      </c>
      <c r="C12" s="2">
        <v>1920</v>
      </c>
      <c r="D12" s="2">
        <v>3640</v>
      </c>
      <c r="E12" s="16">
        <v>50.9</v>
      </c>
      <c r="F12" s="2">
        <v>5018</v>
      </c>
      <c r="G12" s="17">
        <v>70.2</v>
      </c>
      <c r="H12" s="5">
        <v>19.3</v>
      </c>
      <c r="I12" s="7">
        <f t="shared" si="0"/>
        <v>1.37857142857143</v>
      </c>
      <c r="J12" s="7">
        <f t="shared" si="1"/>
        <v>1.67944153381407</v>
      </c>
      <c r="K12" s="7">
        <f t="shared" si="2"/>
        <v>1.65522981371705</v>
      </c>
      <c r="L12" s="7">
        <f t="shared" si="3"/>
        <v>1.77583649224376</v>
      </c>
      <c r="M12" s="7">
        <f t="shared" si="4"/>
        <v>17.5221733361268</v>
      </c>
      <c r="N12" s="8">
        <f t="shared" si="5"/>
        <v>2987.898</v>
      </c>
      <c r="O12" s="8">
        <f t="shared" si="6"/>
        <v>3031.6032</v>
      </c>
      <c r="P12" s="8">
        <f t="shared" si="7"/>
        <v>2825.7106</v>
      </c>
      <c r="Q12" s="8">
        <f t="shared" si="8"/>
        <v>286.38</v>
      </c>
      <c r="R12" s="11"/>
      <c r="S12" s="2">
        <v>347.43</v>
      </c>
      <c r="T12" s="8">
        <f t="shared" si="9"/>
        <v>46.3982371794872</v>
      </c>
      <c r="U12" s="2">
        <v>352.512</v>
      </c>
      <c r="V12" s="8">
        <f t="shared" si="10"/>
        <v>47.0769230769231</v>
      </c>
      <c r="W12" s="2">
        <v>328.571</v>
      </c>
      <c r="X12" s="8">
        <f t="shared" si="11"/>
        <v>43.8796741452992</v>
      </c>
      <c r="Y12" s="2">
        <v>33.3</v>
      </c>
      <c r="Z12" s="8">
        <f t="shared" si="12"/>
        <v>4.44711538461539</v>
      </c>
      <c r="AA12" s="8">
        <f t="shared" si="13"/>
        <v>528.210526315789</v>
      </c>
      <c r="AB12" s="8">
        <f t="shared" si="14"/>
        <v>583.488372093023</v>
      </c>
      <c r="AC12" s="8">
        <f t="shared" si="15"/>
        <v>70.5409356725146</v>
      </c>
      <c r="AD12" s="7">
        <f t="shared" si="16"/>
        <v>1.52033654640011</v>
      </c>
      <c r="AE12" s="7">
        <f t="shared" si="17"/>
        <v>1.49841856820701</v>
      </c>
      <c r="AF12" s="7">
        <f t="shared" si="18"/>
        <v>1.6075993508733</v>
      </c>
      <c r="AG12" s="7">
        <f t="shared" si="19"/>
        <v>15.8621779674411</v>
      </c>
      <c r="AH12" s="3"/>
      <c r="AI12" s="8">
        <v>1013.08</v>
      </c>
      <c r="AJ12" s="8">
        <f t="shared" si="20"/>
        <v>58.6273148148148</v>
      </c>
      <c r="AK12" s="8">
        <v>622.692</v>
      </c>
      <c r="AL12" s="8">
        <f t="shared" si="21"/>
        <v>36.0354166666667</v>
      </c>
      <c r="AM12" s="8">
        <v>602.005</v>
      </c>
      <c r="AN12" s="8">
        <f t="shared" si="22"/>
        <v>34.8382523148148</v>
      </c>
      <c r="AO12" s="8">
        <v>137.37</v>
      </c>
      <c r="AP12" s="8">
        <f t="shared" si="23"/>
        <v>15.8993055555556</v>
      </c>
      <c r="AQ12" s="8">
        <f t="shared" si="24"/>
        <v>1356.21621621622</v>
      </c>
      <c r="AR12" s="2"/>
      <c r="AS12" s="7">
        <f t="shared" si="25"/>
        <v>1.33870594248847</v>
      </c>
      <c r="AT12" s="7">
        <f t="shared" si="26"/>
        <v>2.17798882307179</v>
      </c>
      <c r="AU12" s="7">
        <f t="shared" si="27"/>
        <v>2.25283214627157</v>
      </c>
      <c r="AV12" s="7">
        <f t="shared" si="28"/>
        <v>9.8727248760007</v>
      </c>
      <c r="AX12" s="1"/>
      <c r="AY12" s="8">
        <v>1002.13</v>
      </c>
      <c r="AZ12" s="8">
        <f t="shared" si="29"/>
        <v>49.1297995842648</v>
      </c>
      <c r="BA12" s="8">
        <v>1129.419</v>
      </c>
      <c r="BB12" s="8">
        <f t="shared" si="30"/>
        <v>55.3701906106601</v>
      </c>
      <c r="BC12" s="8">
        <v>355.19</v>
      </c>
      <c r="BD12" s="8">
        <f t="shared" si="31"/>
        <v>17.4133231360552</v>
      </c>
      <c r="BE12" s="8">
        <f t="shared" si="32"/>
        <v>1433.71428571429</v>
      </c>
      <c r="BF12" s="8">
        <f t="shared" si="33"/>
        <v>70.2883812661434</v>
      </c>
      <c r="BG12" s="7">
        <f t="shared" si="34"/>
        <v>1.43066696507867</v>
      </c>
      <c r="BH12" s="7">
        <f t="shared" si="35"/>
        <v>1.2694263915467</v>
      </c>
      <c r="BI12" s="7">
        <f t="shared" si="36"/>
        <v>4.03647142575603</v>
      </c>
    </row>
    <row r="13" ht="20.4" spans="1:61">
      <c r="A13" s="2">
        <v>2688</v>
      </c>
      <c r="B13" s="2">
        <v>79744</v>
      </c>
      <c r="C13" s="2">
        <v>1920</v>
      </c>
      <c r="D13" s="2">
        <v>3625</v>
      </c>
      <c r="E13" s="16">
        <v>50.7</v>
      </c>
      <c r="F13" s="2">
        <v>4736</v>
      </c>
      <c r="G13" s="17">
        <v>66.3</v>
      </c>
      <c r="H13" s="5">
        <v>15.6</v>
      </c>
      <c r="I13" s="7">
        <f t="shared" si="0"/>
        <v>1.30648275862069</v>
      </c>
      <c r="J13" s="7">
        <f t="shared" si="1"/>
        <v>1.58369330923016</v>
      </c>
      <c r="K13" s="7">
        <f t="shared" si="2"/>
        <v>1.56728265684591</v>
      </c>
      <c r="L13" s="7">
        <f t="shared" si="3"/>
        <v>1.63830829724281</v>
      </c>
      <c r="M13" s="7">
        <f t="shared" si="4"/>
        <v>13.1745855124068</v>
      </c>
      <c r="N13" s="8">
        <f t="shared" si="5"/>
        <v>2990.478</v>
      </c>
      <c r="O13" s="8">
        <f t="shared" si="6"/>
        <v>3021.7906</v>
      </c>
      <c r="P13" s="8">
        <f t="shared" si="7"/>
        <v>2890.7868</v>
      </c>
      <c r="Q13" s="8">
        <f t="shared" si="8"/>
        <v>359.48</v>
      </c>
      <c r="R13" s="11"/>
      <c r="S13" s="2">
        <v>347.73</v>
      </c>
      <c r="T13" s="8">
        <f t="shared" si="9"/>
        <v>46.4383012820513</v>
      </c>
      <c r="U13" s="2">
        <v>351.371</v>
      </c>
      <c r="V13" s="8">
        <f t="shared" si="10"/>
        <v>46.9245459401709</v>
      </c>
      <c r="W13" s="2">
        <v>336.138</v>
      </c>
      <c r="X13" s="8">
        <f t="shared" si="11"/>
        <v>44.8902243589744</v>
      </c>
      <c r="Y13" s="2">
        <v>41.8</v>
      </c>
      <c r="Z13" s="8">
        <f t="shared" si="12"/>
        <v>5.58226495726496</v>
      </c>
      <c r="AA13" s="8">
        <f t="shared" si="13"/>
        <v>498.526315789474</v>
      </c>
      <c r="AB13" s="8">
        <f t="shared" si="14"/>
        <v>550.697674418605</v>
      </c>
      <c r="AC13" s="8">
        <f t="shared" si="15"/>
        <v>66.5766981556455</v>
      </c>
      <c r="AD13" s="7">
        <f t="shared" si="16"/>
        <v>1.43365920625046</v>
      </c>
      <c r="AE13" s="7">
        <f t="shared" si="17"/>
        <v>1.41880324724998</v>
      </c>
      <c r="AF13" s="7">
        <f t="shared" si="18"/>
        <v>1.48310014276718</v>
      </c>
      <c r="AG13" s="7">
        <f t="shared" si="19"/>
        <v>11.9264668849156</v>
      </c>
      <c r="AH13" s="3"/>
      <c r="AI13" s="8">
        <v>1038.19</v>
      </c>
      <c r="AJ13" s="8">
        <f t="shared" si="20"/>
        <v>60.0804398148148</v>
      </c>
      <c r="AK13" s="8">
        <v>622.411</v>
      </c>
      <c r="AL13" s="8">
        <f t="shared" si="21"/>
        <v>36.0191550925926</v>
      </c>
      <c r="AM13" s="8">
        <v>604.548</v>
      </c>
      <c r="AN13" s="8">
        <f t="shared" si="22"/>
        <v>34.9854166666667</v>
      </c>
      <c r="AO13" s="8">
        <v>138.09</v>
      </c>
      <c r="AP13" s="8">
        <f t="shared" si="23"/>
        <v>15.9826388888889</v>
      </c>
      <c r="AQ13" s="8">
        <f t="shared" si="24"/>
        <v>1280</v>
      </c>
      <c r="AR13" s="2"/>
      <c r="AS13" s="7">
        <f t="shared" si="25"/>
        <v>1.23291497702733</v>
      </c>
      <c r="AT13" s="7">
        <f t="shared" si="26"/>
        <v>2.05651892399074</v>
      </c>
      <c r="AU13" s="7">
        <f t="shared" si="27"/>
        <v>2.11728431820137</v>
      </c>
      <c r="AV13" s="7">
        <f t="shared" si="28"/>
        <v>9.26931711202839</v>
      </c>
      <c r="AX13" s="1"/>
      <c r="AY13" s="8">
        <v>999.42</v>
      </c>
      <c r="AZ13" s="8">
        <f t="shared" si="29"/>
        <v>48.9969408165667</v>
      </c>
      <c r="BA13" s="8">
        <v>1124.456</v>
      </c>
      <c r="BB13" s="8">
        <f t="shared" si="30"/>
        <v>55.126877671883</v>
      </c>
      <c r="BC13" s="8">
        <v>354.84</v>
      </c>
      <c r="BD13" s="8">
        <f t="shared" si="31"/>
        <v>17.3961642546182</v>
      </c>
      <c r="BE13" s="8">
        <f t="shared" si="32"/>
        <v>1353.14285714286</v>
      </c>
      <c r="BF13" s="8">
        <f t="shared" si="33"/>
        <v>66.3383367230879</v>
      </c>
      <c r="BG13" s="7">
        <f t="shared" si="34"/>
        <v>1.35392813546142</v>
      </c>
      <c r="BH13" s="7">
        <f t="shared" si="35"/>
        <v>1.20337554972614</v>
      </c>
      <c r="BI13" s="7">
        <f t="shared" si="36"/>
        <v>3.81338873053449</v>
      </c>
    </row>
    <row r="14" ht="20.4" spans="1:61">
      <c r="A14" s="2">
        <v>2688</v>
      </c>
      <c r="B14" s="2">
        <v>78976</v>
      </c>
      <c r="C14" s="2">
        <v>1920</v>
      </c>
      <c r="D14" s="2">
        <v>3631</v>
      </c>
      <c r="E14" s="16">
        <v>50.8</v>
      </c>
      <c r="F14" s="2">
        <v>4933</v>
      </c>
      <c r="G14" s="17">
        <v>69</v>
      </c>
      <c r="H14" s="5">
        <v>18.2</v>
      </c>
      <c r="I14" s="7">
        <f t="shared" si="0"/>
        <v>1.35857890388323</v>
      </c>
      <c r="J14" s="7">
        <f t="shared" si="1"/>
        <v>1.64800508867089</v>
      </c>
      <c r="K14" s="7">
        <f t="shared" si="2"/>
        <v>1.62484108968504</v>
      </c>
      <c r="L14" s="7">
        <f t="shared" si="3"/>
        <v>1.70868230909381</v>
      </c>
      <c r="M14" s="7">
        <f t="shared" si="4"/>
        <v>17.1378742504568</v>
      </c>
      <c r="N14" s="8">
        <f t="shared" si="5"/>
        <v>2993.316</v>
      </c>
      <c r="O14" s="8">
        <f t="shared" si="6"/>
        <v>3035.9892</v>
      </c>
      <c r="P14" s="8">
        <f t="shared" si="7"/>
        <v>2887.02</v>
      </c>
      <c r="Q14" s="8">
        <f t="shared" si="8"/>
        <v>287.842</v>
      </c>
      <c r="R14" s="11"/>
      <c r="S14" s="2">
        <v>348.06</v>
      </c>
      <c r="T14" s="8">
        <f t="shared" si="9"/>
        <v>46.4823717948718</v>
      </c>
      <c r="U14" s="2">
        <v>353.022</v>
      </c>
      <c r="V14" s="8">
        <f t="shared" si="10"/>
        <v>47.1450320512821</v>
      </c>
      <c r="W14" s="2">
        <v>335.7</v>
      </c>
      <c r="X14" s="8">
        <f t="shared" si="11"/>
        <v>44.8317307692308</v>
      </c>
      <c r="Y14" s="2">
        <v>33.47</v>
      </c>
      <c r="Z14" s="8">
        <f t="shared" si="12"/>
        <v>4.46981837606838</v>
      </c>
      <c r="AA14" s="8">
        <f t="shared" si="13"/>
        <v>519.263157894737</v>
      </c>
      <c r="AB14" s="8">
        <f t="shared" si="14"/>
        <v>573.604651162791</v>
      </c>
      <c r="AC14" s="8">
        <f t="shared" si="15"/>
        <v>69.3460413855151</v>
      </c>
      <c r="AD14" s="7">
        <f t="shared" si="16"/>
        <v>1.49187829079681</v>
      </c>
      <c r="AE14" s="7">
        <f t="shared" si="17"/>
        <v>1.4709087759254</v>
      </c>
      <c r="AF14" s="7">
        <f t="shared" si="18"/>
        <v>1.54680714296913</v>
      </c>
      <c r="AG14" s="7">
        <f t="shared" si="19"/>
        <v>15.5142861635715</v>
      </c>
      <c r="AH14" s="3"/>
      <c r="AI14" s="8">
        <v>1065.83</v>
      </c>
      <c r="AJ14" s="8">
        <f t="shared" si="20"/>
        <v>61.6799768518518</v>
      </c>
      <c r="AK14" s="8">
        <v>621.789</v>
      </c>
      <c r="AL14" s="8">
        <f t="shared" si="21"/>
        <v>35.9831597222222</v>
      </c>
      <c r="AM14" s="8">
        <v>608.719</v>
      </c>
      <c r="AN14" s="8">
        <f t="shared" si="22"/>
        <v>35.2267939814815</v>
      </c>
      <c r="AO14" s="8">
        <v>137.47</v>
      </c>
      <c r="AP14" s="8">
        <f t="shared" si="23"/>
        <v>15.9108796296296</v>
      </c>
      <c r="AQ14" s="8">
        <f t="shared" si="24"/>
        <v>1333.24324324324</v>
      </c>
      <c r="AR14" s="2"/>
      <c r="AS14" s="7">
        <f t="shared" si="25"/>
        <v>1.25089671264952</v>
      </c>
      <c r="AT14" s="7">
        <f t="shared" si="26"/>
        <v>2.14420525812332</v>
      </c>
      <c r="AU14" s="7">
        <f t="shared" si="27"/>
        <v>2.19024417381952</v>
      </c>
      <c r="AV14" s="7">
        <f t="shared" si="28"/>
        <v>9.69843051751832</v>
      </c>
      <c r="AX14" s="1"/>
      <c r="AY14" s="8">
        <v>999.05</v>
      </c>
      <c r="AZ14" s="8">
        <f t="shared" si="29"/>
        <v>48.9788014276189</v>
      </c>
      <c r="BA14" s="8">
        <v>1122.352</v>
      </c>
      <c r="BB14" s="8">
        <f t="shared" si="30"/>
        <v>55.0237282817586</v>
      </c>
      <c r="BC14" s="8">
        <v>355.37</v>
      </c>
      <c r="BD14" s="8">
        <f t="shared" si="31"/>
        <v>17.4221477036514</v>
      </c>
      <c r="BE14" s="8">
        <f t="shared" si="32"/>
        <v>1409.42857142857</v>
      </c>
      <c r="BF14" s="8">
        <f t="shared" si="33"/>
        <v>69.0977650031656</v>
      </c>
      <c r="BG14" s="7">
        <f t="shared" si="34"/>
        <v>1.41076880179027</v>
      </c>
      <c r="BH14" s="7">
        <f t="shared" si="35"/>
        <v>1.25578122677072</v>
      </c>
      <c r="BI14" s="7">
        <f t="shared" si="36"/>
        <v>3.96608765913997</v>
      </c>
    </row>
    <row r="15" ht="20.4" spans="1:61">
      <c r="A15" s="2">
        <v>2688</v>
      </c>
      <c r="B15" s="2">
        <v>83584</v>
      </c>
      <c r="C15" s="2">
        <v>1920</v>
      </c>
      <c r="D15" s="2">
        <v>3569</v>
      </c>
      <c r="E15" s="16">
        <v>49.9</v>
      </c>
      <c r="F15" s="2">
        <v>4998</v>
      </c>
      <c r="G15" s="17">
        <v>69.9</v>
      </c>
      <c r="H15" s="5">
        <v>20</v>
      </c>
      <c r="I15" s="7">
        <f t="shared" si="0"/>
        <v>1.40039226674138</v>
      </c>
      <c r="J15" s="7">
        <f t="shared" si="1"/>
        <v>1.66996003188895</v>
      </c>
      <c r="K15" s="7">
        <f t="shared" si="2"/>
        <v>1.64703472455371</v>
      </c>
      <c r="L15" s="7">
        <f t="shared" si="3"/>
        <v>1.7528714931961</v>
      </c>
      <c r="M15" s="7">
        <f t="shared" si="4"/>
        <v>18.0991214792175</v>
      </c>
      <c r="N15" s="8">
        <f t="shared" si="5"/>
        <v>2992.886</v>
      </c>
      <c r="O15" s="8">
        <f t="shared" si="6"/>
        <v>3034.5444</v>
      </c>
      <c r="P15" s="8">
        <f t="shared" si="7"/>
        <v>2851.3214</v>
      </c>
      <c r="Q15" s="8">
        <f t="shared" si="8"/>
        <v>276.146</v>
      </c>
      <c r="R15" s="11"/>
      <c r="S15" s="2">
        <v>348.01</v>
      </c>
      <c r="T15" s="8">
        <f t="shared" si="9"/>
        <v>46.4756944444444</v>
      </c>
      <c r="U15" s="2">
        <v>352.854</v>
      </c>
      <c r="V15" s="8">
        <f t="shared" si="10"/>
        <v>47.1225961538462</v>
      </c>
      <c r="W15" s="2">
        <v>331.549</v>
      </c>
      <c r="X15" s="8">
        <f t="shared" si="11"/>
        <v>44.2773771367521</v>
      </c>
      <c r="Y15" s="2">
        <v>32.11</v>
      </c>
      <c r="Z15" s="8">
        <f t="shared" si="12"/>
        <v>4.28819444444444</v>
      </c>
      <c r="AA15" s="8">
        <f t="shared" si="13"/>
        <v>526.105263157895</v>
      </c>
      <c r="AB15" s="8">
        <f t="shared" si="14"/>
        <v>581.162790697674</v>
      </c>
      <c r="AC15" s="8">
        <f t="shared" si="15"/>
        <v>70.2597840755735</v>
      </c>
      <c r="AD15" s="7">
        <f t="shared" si="16"/>
        <v>1.51175329202579</v>
      </c>
      <c r="AE15" s="7">
        <f t="shared" si="17"/>
        <v>1.49099985591178</v>
      </c>
      <c r="AF15" s="7">
        <f t="shared" si="18"/>
        <v>1.58680998331437</v>
      </c>
      <c r="AG15" s="7">
        <f t="shared" si="19"/>
        <v>16.3844678653969</v>
      </c>
      <c r="AH15" s="3"/>
      <c r="AI15" s="8">
        <v>1045.53</v>
      </c>
      <c r="AJ15" s="8">
        <f t="shared" si="20"/>
        <v>60.5052083333333</v>
      </c>
      <c r="AK15" s="8">
        <v>633.385</v>
      </c>
      <c r="AL15" s="8">
        <f t="shared" si="21"/>
        <v>36.654224537037</v>
      </c>
      <c r="AM15" s="8">
        <v>602.106</v>
      </c>
      <c r="AN15" s="8">
        <f t="shared" si="22"/>
        <v>34.8440972222222</v>
      </c>
      <c r="AO15" s="8">
        <v>135.01</v>
      </c>
      <c r="AP15" s="8">
        <f t="shared" si="23"/>
        <v>15.6261574074074</v>
      </c>
      <c r="AQ15" s="8">
        <f t="shared" si="24"/>
        <v>1350.81081081081</v>
      </c>
      <c r="AR15" s="2"/>
      <c r="AS15" s="7">
        <f t="shared" si="25"/>
        <v>1.29198665826022</v>
      </c>
      <c r="AT15" s="7">
        <f t="shared" si="26"/>
        <v>2.13268519275135</v>
      </c>
      <c r="AU15" s="7">
        <f t="shared" si="27"/>
        <v>2.24347674796599</v>
      </c>
      <c r="AV15" s="7">
        <f t="shared" si="28"/>
        <v>10.0052648752745</v>
      </c>
      <c r="AX15" s="1"/>
      <c r="AY15" s="8">
        <v>999.82</v>
      </c>
      <c r="AZ15" s="8">
        <f t="shared" si="29"/>
        <v>49.0165509667804</v>
      </c>
      <c r="BA15" s="8">
        <v>1128.16</v>
      </c>
      <c r="BB15" s="8">
        <f t="shared" si="30"/>
        <v>55.3084676628623</v>
      </c>
      <c r="BC15" s="8">
        <v>353.19</v>
      </c>
      <c r="BD15" s="8">
        <f t="shared" si="31"/>
        <v>17.3152723849865</v>
      </c>
      <c r="BE15" s="8">
        <f t="shared" si="32"/>
        <v>1428</v>
      </c>
      <c r="BF15" s="8">
        <f t="shared" si="33"/>
        <v>70.0082362630898</v>
      </c>
      <c r="BG15" s="7">
        <f t="shared" si="34"/>
        <v>1.42825708627553</v>
      </c>
      <c r="BH15" s="7">
        <f t="shared" si="35"/>
        <v>1.26577790384343</v>
      </c>
      <c r="BI15" s="7">
        <f t="shared" si="36"/>
        <v>4.04314957954642</v>
      </c>
    </row>
    <row r="16" ht="20.4" spans="1:61">
      <c r="A16" s="2">
        <v>2688</v>
      </c>
      <c r="B16" s="2">
        <v>81664</v>
      </c>
      <c r="C16" s="2">
        <v>1920</v>
      </c>
      <c r="D16" s="2">
        <v>3564</v>
      </c>
      <c r="E16" s="16">
        <v>49.9</v>
      </c>
      <c r="F16" s="2">
        <v>5095</v>
      </c>
      <c r="G16" s="17">
        <v>71.3</v>
      </c>
      <c r="H16" s="5">
        <v>21.4</v>
      </c>
      <c r="I16" s="7">
        <f t="shared" si="0"/>
        <v>1.42957351290685</v>
      </c>
      <c r="J16" s="7">
        <f t="shared" si="1"/>
        <v>1.71483692388884</v>
      </c>
      <c r="K16" s="7">
        <f t="shared" si="2"/>
        <v>1.6822084679898</v>
      </c>
      <c r="L16" s="7">
        <f t="shared" si="3"/>
        <v>1.81100114773753</v>
      </c>
      <c r="M16" s="7">
        <f t="shared" si="4"/>
        <v>22.534874875052</v>
      </c>
      <c r="N16" s="8">
        <f t="shared" si="5"/>
        <v>2971.128</v>
      </c>
      <c r="O16" s="8">
        <f t="shared" si="6"/>
        <v>3028.7566</v>
      </c>
      <c r="P16" s="8">
        <f t="shared" si="7"/>
        <v>2813.361</v>
      </c>
      <c r="Q16" s="8">
        <f t="shared" si="8"/>
        <v>226.094</v>
      </c>
      <c r="R16" s="11"/>
      <c r="S16" s="2">
        <v>345.48</v>
      </c>
      <c r="T16" s="8">
        <f t="shared" si="9"/>
        <v>46.1378205128205</v>
      </c>
      <c r="U16" s="2">
        <v>352.181</v>
      </c>
      <c r="V16" s="8">
        <f t="shared" si="10"/>
        <v>47.032719017094</v>
      </c>
      <c r="W16" s="2">
        <v>327.135</v>
      </c>
      <c r="X16" s="8">
        <f t="shared" si="11"/>
        <v>43.6879006410256</v>
      </c>
      <c r="Y16" s="2">
        <v>26.29</v>
      </c>
      <c r="Z16" s="8">
        <f t="shared" si="12"/>
        <v>3.51095085470085</v>
      </c>
      <c r="AA16" s="8">
        <f t="shared" si="13"/>
        <v>536.315789473684</v>
      </c>
      <c r="AB16" s="8">
        <f t="shared" si="14"/>
        <v>592.441860465116</v>
      </c>
      <c r="AC16" s="8">
        <f t="shared" si="15"/>
        <v>71.6233693207377</v>
      </c>
      <c r="AD16" s="7">
        <f t="shared" si="16"/>
        <v>1.55237868899411</v>
      </c>
      <c r="AE16" s="7">
        <f t="shared" si="17"/>
        <v>1.52284134996971</v>
      </c>
      <c r="AF16" s="7">
        <f t="shared" si="18"/>
        <v>1.63943261795187</v>
      </c>
      <c r="AG16" s="7">
        <f t="shared" si="19"/>
        <v>20.3999919921523</v>
      </c>
      <c r="AH16" s="3"/>
      <c r="AI16" s="8">
        <v>1031.05</v>
      </c>
      <c r="AJ16" s="8">
        <f t="shared" si="20"/>
        <v>59.6672453703704</v>
      </c>
      <c r="AK16" s="8">
        <v>620.752</v>
      </c>
      <c r="AL16" s="8">
        <f t="shared" si="21"/>
        <v>35.9231481481481</v>
      </c>
      <c r="AM16" s="8">
        <v>595.595</v>
      </c>
      <c r="AN16" s="8">
        <f t="shared" si="22"/>
        <v>34.4673032407407</v>
      </c>
      <c r="AO16" s="8">
        <v>141.96</v>
      </c>
      <c r="AP16" s="8">
        <f t="shared" si="23"/>
        <v>16.4305555555556</v>
      </c>
      <c r="AQ16" s="8">
        <f t="shared" si="24"/>
        <v>1377.02702702703</v>
      </c>
      <c r="AR16" s="2"/>
      <c r="AS16" s="7">
        <f t="shared" si="25"/>
        <v>1.33555795259883</v>
      </c>
      <c r="AT16" s="7">
        <f t="shared" si="26"/>
        <v>2.21832072555067</v>
      </c>
      <c r="AU16" s="7">
        <f t="shared" si="27"/>
        <v>2.31201911874181</v>
      </c>
      <c r="AV16" s="7">
        <f t="shared" si="28"/>
        <v>9.70010585395201</v>
      </c>
      <c r="AX16" s="1"/>
      <c r="AY16" s="8">
        <v>1004.08</v>
      </c>
      <c r="AZ16" s="8">
        <f t="shared" si="29"/>
        <v>49.2253990665569</v>
      </c>
      <c r="BA16" s="8">
        <v>1119.473</v>
      </c>
      <c r="BB16" s="8">
        <f t="shared" si="30"/>
        <v>54.8825842255952</v>
      </c>
      <c r="BC16" s="8">
        <v>353.48</v>
      </c>
      <c r="BD16" s="8">
        <f t="shared" si="31"/>
        <v>17.3294897438914</v>
      </c>
      <c r="BE16" s="8">
        <f t="shared" si="32"/>
        <v>1455.71428571429</v>
      </c>
      <c r="BF16" s="8">
        <f t="shared" si="33"/>
        <v>71.3669395278996</v>
      </c>
      <c r="BG16" s="7">
        <f t="shared" si="34"/>
        <v>1.4497991053644</v>
      </c>
      <c r="BH16" s="7">
        <f t="shared" si="35"/>
        <v>1.30035676225714</v>
      </c>
      <c r="BI16" s="7">
        <f t="shared" si="36"/>
        <v>4.11823663492782</v>
      </c>
    </row>
    <row r="17" ht="20.4" spans="1:61">
      <c r="A17" s="2">
        <v>2688</v>
      </c>
      <c r="B17" s="2">
        <v>81280</v>
      </c>
      <c r="C17" s="2">
        <v>1920</v>
      </c>
      <c r="D17" s="2">
        <v>3606</v>
      </c>
      <c r="E17" s="16">
        <v>50.4</v>
      </c>
      <c r="F17" s="2">
        <v>4706</v>
      </c>
      <c r="G17" s="17">
        <v>65.8</v>
      </c>
      <c r="H17" s="5">
        <v>15.4</v>
      </c>
      <c r="I17" s="7">
        <f t="shared" si="0"/>
        <v>1.30504714364947</v>
      </c>
      <c r="J17" s="7">
        <f t="shared" si="1"/>
        <v>1.57253089926312</v>
      </c>
      <c r="K17" s="7">
        <f t="shared" si="2"/>
        <v>1.54900952920643</v>
      </c>
      <c r="L17" s="7">
        <f t="shared" si="3"/>
        <v>1.66903852670075</v>
      </c>
      <c r="M17" s="7">
        <f t="shared" si="4"/>
        <v>16.2184144139176</v>
      </c>
      <c r="N17" s="8">
        <f t="shared" si="5"/>
        <v>2992.628</v>
      </c>
      <c r="O17" s="8">
        <f t="shared" si="6"/>
        <v>3038.0704</v>
      </c>
      <c r="P17" s="8">
        <f t="shared" si="7"/>
        <v>2819.5874</v>
      </c>
      <c r="Q17" s="8">
        <f t="shared" si="8"/>
        <v>290.164</v>
      </c>
      <c r="R17" s="11"/>
      <c r="S17" s="2">
        <v>347.98</v>
      </c>
      <c r="T17" s="8">
        <f t="shared" si="9"/>
        <v>46.471688034188</v>
      </c>
      <c r="U17" s="2">
        <v>353.264</v>
      </c>
      <c r="V17" s="8">
        <f t="shared" si="10"/>
        <v>47.1773504273504</v>
      </c>
      <c r="W17" s="2">
        <v>327.859</v>
      </c>
      <c r="X17" s="8">
        <f t="shared" si="11"/>
        <v>43.7845886752137</v>
      </c>
      <c r="Y17" s="2">
        <v>33.74</v>
      </c>
      <c r="Z17" s="8">
        <f t="shared" si="12"/>
        <v>4.50587606837607</v>
      </c>
      <c r="AA17" s="8">
        <f t="shared" si="13"/>
        <v>495.368421052632</v>
      </c>
      <c r="AB17" s="8">
        <f t="shared" si="14"/>
        <v>547.209302325581</v>
      </c>
      <c r="AC17" s="8">
        <f t="shared" si="15"/>
        <v>66.1549707602339</v>
      </c>
      <c r="AD17" s="7">
        <f t="shared" si="16"/>
        <v>1.42355428775398</v>
      </c>
      <c r="AE17" s="7">
        <f t="shared" si="17"/>
        <v>1.40226125801846</v>
      </c>
      <c r="AF17" s="7">
        <f t="shared" si="18"/>
        <v>1.5109190873291</v>
      </c>
      <c r="AG17" s="7">
        <f t="shared" si="19"/>
        <v>14.6819330483886</v>
      </c>
      <c r="AH17" s="3"/>
      <c r="AI17" s="8">
        <v>1040.63</v>
      </c>
      <c r="AJ17" s="8">
        <f t="shared" si="20"/>
        <v>60.2216435185185</v>
      </c>
      <c r="AK17" s="8">
        <v>621.84</v>
      </c>
      <c r="AL17" s="8">
        <f t="shared" si="21"/>
        <v>35.9861111111111</v>
      </c>
      <c r="AM17" s="8">
        <v>606.878</v>
      </c>
      <c r="AN17" s="8">
        <f t="shared" si="22"/>
        <v>35.1202546296296</v>
      </c>
      <c r="AO17" s="8">
        <v>134.93</v>
      </c>
      <c r="AP17" s="8">
        <f t="shared" si="23"/>
        <v>15.6168981481481</v>
      </c>
      <c r="AQ17" s="8">
        <f t="shared" si="24"/>
        <v>1271.89189189189</v>
      </c>
      <c r="AR17" s="2"/>
      <c r="AS17" s="7">
        <f t="shared" si="25"/>
        <v>1.2222325820819</v>
      </c>
      <c r="AT17" s="7">
        <f t="shared" si="26"/>
        <v>2.0453684097065</v>
      </c>
      <c r="AU17" s="7">
        <f t="shared" si="27"/>
        <v>2.09579502287427</v>
      </c>
      <c r="AV17" s="7">
        <f t="shared" si="28"/>
        <v>9.42630913727038</v>
      </c>
      <c r="AX17" s="1"/>
      <c r="AY17" s="8">
        <v>1000.43</v>
      </c>
      <c r="AZ17" s="8">
        <f t="shared" si="29"/>
        <v>49.0464564458564</v>
      </c>
      <c r="BA17" s="8">
        <v>1126.584</v>
      </c>
      <c r="BB17" s="8">
        <f t="shared" si="30"/>
        <v>55.2312036710201</v>
      </c>
      <c r="BC17" s="8">
        <v>354.98</v>
      </c>
      <c r="BD17" s="8">
        <f t="shared" si="31"/>
        <v>17.403027807193</v>
      </c>
      <c r="BE17" s="8">
        <f t="shared" si="32"/>
        <v>1344.57142857143</v>
      </c>
      <c r="BF17" s="8">
        <f t="shared" si="33"/>
        <v>65.9181192185075</v>
      </c>
      <c r="BG17" s="7">
        <f t="shared" si="34"/>
        <v>1.34399351136154</v>
      </c>
      <c r="BH17" s="7">
        <f t="shared" si="35"/>
        <v>1.19349416339255</v>
      </c>
      <c r="BI17" s="7">
        <f t="shared" si="36"/>
        <v>3.78773854462626</v>
      </c>
    </row>
    <row r="18" ht="20.4" spans="1:61">
      <c r="A18" s="2">
        <v>2688</v>
      </c>
      <c r="B18" s="2">
        <v>75520</v>
      </c>
      <c r="C18" s="2">
        <v>1920</v>
      </c>
      <c r="D18" s="2">
        <v>3554</v>
      </c>
      <c r="E18" s="16">
        <v>49.7</v>
      </c>
      <c r="F18" s="2">
        <v>5021</v>
      </c>
      <c r="G18" s="17">
        <v>70.3</v>
      </c>
      <c r="H18" s="5">
        <v>20.6</v>
      </c>
      <c r="I18" s="7">
        <f t="shared" si="0"/>
        <v>1.41277433877321</v>
      </c>
      <c r="J18" s="7">
        <f t="shared" si="1"/>
        <v>1.67173636840661</v>
      </c>
      <c r="K18" s="7">
        <f t="shared" si="2"/>
        <v>1.66410295603812</v>
      </c>
      <c r="L18" s="7">
        <f t="shared" si="3"/>
        <v>1.7748940825505</v>
      </c>
      <c r="M18" s="7">
        <f t="shared" si="4"/>
        <v>23.4472774820211</v>
      </c>
      <c r="N18" s="8">
        <f t="shared" si="5"/>
        <v>3003.464</v>
      </c>
      <c r="O18" s="8">
        <f t="shared" si="6"/>
        <v>3017.2412</v>
      </c>
      <c r="P18" s="8">
        <f t="shared" si="7"/>
        <v>2828.9012</v>
      </c>
      <c r="Q18" s="8">
        <f t="shared" si="8"/>
        <v>214.14</v>
      </c>
      <c r="R18" s="11"/>
      <c r="S18" s="2">
        <v>349.24</v>
      </c>
      <c r="T18" s="8">
        <f t="shared" si="9"/>
        <v>46.6399572649573</v>
      </c>
      <c r="U18" s="2">
        <v>350.842</v>
      </c>
      <c r="V18" s="8">
        <f t="shared" si="10"/>
        <v>46.8538995726496</v>
      </c>
      <c r="W18" s="2">
        <v>328.942</v>
      </c>
      <c r="X18" s="8">
        <f t="shared" si="11"/>
        <v>43.9292200854701</v>
      </c>
      <c r="Y18" s="2">
        <v>24.9</v>
      </c>
      <c r="Z18" s="8">
        <f t="shared" si="12"/>
        <v>3.32532051282051</v>
      </c>
      <c r="AA18" s="8">
        <f t="shared" si="13"/>
        <v>528.526315789474</v>
      </c>
      <c r="AB18" s="8">
        <f t="shared" si="14"/>
        <v>583.837209302326</v>
      </c>
      <c r="AC18" s="8">
        <f t="shared" si="15"/>
        <v>70.5831084120558</v>
      </c>
      <c r="AD18" s="7">
        <f t="shared" si="16"/>
        <v>1.51336134403125</v>
      </c>
      <c r="AE18" s="7">
        <f t="shared" si="17"/>
        <v>1.50645109704503</v>
      </c>
      <c r="AF18" s="7">
        <f t="shared" si="18"/>
        <v>1.60674622209834</v>
      </c>
      <c r="AG18" s="7">
        <f t="shared" si="19"/>
        <v>21.2259564574086</v>
      </c>
      <c r="AH18" s="3"/>
      <c r="AI18" s="8">
        <v>1037.17</v>
      </c>
      <c r="AJ18" s="8">
        <f t="shared" si="20"/>
        <v>60.021412037037</v>
      </c>
      <c r="AK18" s="8">
        <v>620.482</v>
      </c>
      <c r="AL18" s="8">
        <f t="shared" si="21"/>
        <v>35.9075231481481</v>
      </c>
      <c r="AM18" s="8">
        <v>604.423</v>
      </c>
      <c r="AN18" s="8">
        <f t="shared" si="22"/>
        <v>34.9781828703704</v>
      </c>
      <c r="AO18" s="8">
        <v>140.81</v>
      </c>
      <c r="AP18" s="8">
        <f t="shared" si="23"/>
        <v>16.2974537037037</v>
      </c>
      <c r="AQ18" s="8">
        <f t="shared" si="24"/>
        <v>1357.02702702703</v>
      </c>
      <c r="AR18" s="2"/>
      <c r="AS18" s="7">
        <f t="shared" si="25"/>
        <v>1.30839402125691</v>
      </c>
      <c r="AT18" s="7">
        <f t="shared" si="26"/>
        <v>2.1870530120568</v>
      </c>
      <c r="AU18" s="7">
        <f t="shared" si="27"/>
        <v>2.24516113223194</v>
      </c>
      <c r="AV18" s="7">
        <f t="shared" si="28"/>
        <v>9.63729157749469</v>
      </c>
      <c r="AX18" s="1"/>
      <c r="AY18" s="8">
        <v>996.96</v>
      </c>
      <c r="AZ18" s="8">
        <f t="shared" si="29"/>
        <v>48.8763383927521</v>
      </c>
      <c r="BA18" s="8">
        <v>1110.968</v>
      </c>
      <c r="BB18" s="8">
        <f t="shared" si="30"/>
        <v>54.4656234066753</v>
      </c>
      <c r="BC18" s="8">
        <v>355.06</v>
      </c>
      <c r="BD18" s="8">
        <f t="shared" si="31"/>
        <v>17.4069498372358</v>
      </c>
      <c r="BE18" s="8">
        <f t="shared" si="32"/>
        <v>1434.57142857143</v>
      </c>
      <c r="BF18" s="8">
        <f t="shared" si="33"/>
        <v>70.3304030166014</v>
      </c>
      <c r="BG18" s="7">
        <f t="shared" si="34"/>
        <v>1.43894582387601</v>
      </c>
      <c r="BH18" s="7">
        <f t="shared" si="35"/>
        <v>1.29128060265591</v>
      </c>
      <c r="BI18" s="7">
        <f t="shared" si="36"/>
        <v>4.04036339934498</v>
      </c>
    </row>
    <row r="19" ht="20.4" spans="1:6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"/>
      <c r="N19" s="9"/>
      <c r="O19" s="10"/>
      <c r="P19" s="10"/>
      <c r="Q19" s="10"/>
      <c r="R19" s="3"/>
      <c r="S19" s="3"/>
      <c r="T19" s="3"/>
      <c r="U19" s="3"/>
      <c r="V19" s="3"/>
      <c r="W19" s="3"/>
      <c r="X19" s="3"/>
      <c r="Y19" s="3"/>
      <c r="Z19" s="3"/>
      <c r="AA19" s="10"/>
      <c r="AB19" s="3"/>
      <c r="AC19" s="3"/>
      <c r="AD19" s="3"/>
      <c r="AE19" s="3"/>
      <c r="AF19" s="3"/>
      <c r="AG19" s="3"/>
      <c r="AH19" s="3"/>
      <c r="AI19" s="13"/>
      <c r="AJ19" s="13"/>
      <c r="AK19" s="13"/>
      <c r="AL19" s="13"/>
      <c r="AM19" s="13"/>
      <c r="AN19" s="13"/>
      <c r="AO19" s="13"/>
      <c r="AP19" s="3"/>
      <c r="AQ19" s="3"/>
      <c r="AR19" s="3"/>
      <c r="AS19" s="3"/>
      <c r="AT19" s="3"/>
      <c r="AU19" s="3"/>
      <c r="AV19" s="1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ht="20.4" spans="1:61">
      <c r="A20" s="2">
        <v>3456</v>
      </c>
      <c r="B20" s="2">
        <v>83584</v>
      </c>
      <c r="C20" s="2">
        <v>1920</v>
      </c>
      <c r="D20" s="2">
        <v>4573</v>
      </c>
      <c r="E20" s="16">
        <v>64</v>
      </c>
      <c r="F20" s="2">
        <v>5920</v>
      </c>
      <c r="G20" s="17">
        <v>82.8</v>
      </c>
      <c r="H20" s="5">
        <v>18.8</v>
      </c>
      <c r="I20" s="7">
        <f t="shared" si="0"/>
        <v>1.29455499671988</v>
      </c>
      <c r="J20" s="7">
        <f t="shared" si="1"/>
        <v>1.96184477035812</v>
      </c>
      <c r="K20" s="7">
        <f t="shared" si="2"/>
        <v>1.95489166730069</v>
      </c>
      <c r="L20" s="7">
        <f t="shared" si="3"/>
        <v>2.26721590482595</v>
      </c>
      <c r="M20" s="7">
        <f t="shared" si="4"/>
        <v>20.6904746926136</v>
      </c>
      <c r="N20" s="8">
        <f t="shared" si="5"/>
        <v>3017.568</v>
      </c>
      <c r="O20" s="8">
        <f t="shared" si="6"/>
        <v>3028.3008</v>
      </c>
      <c r="P20" s="8">
        <f t="shared" si="7"/>
        <v>2611.132</v>
      </c>
      <c r="Q20" s="8">
        <f t="shared" ref="Q19:Q52" si="37">Y20*8.6</f>
        <v>286.122</v>
      </c>
      <c r="R20" s="3"/>
      <c r="S20" s="2">
        <v>350.88</v>
      </c>
      <c r="T20" s="8">
        <f t="shared" ref="T19:T52" si="38">(S20/748.8)*100</f>
        <v>46.8589743589744</v>
      </c>
      <c r="U20" s="2">
        <v>352.128</v>
      </c>
      <c r="V20" s="8">
        <f t="shared" si="10"/>
        <v>47.025641025641</v>
      </c>
      <c r="W20" s="2">
        <v>303.62</v>
      </c>
      <c r="X20" s="8">
        <f t="shared" si="11"/>
        <v>40.5475427350427</v>
      </c>
      <c r="Y20" s="2">
        <v>33.27</v>
      </c>
      <c r="Z20" s="8">
        <f t="shared" si="12"/>
        <v>4.44310897435898</v>
      </c>
      <c r="AA20" s="8">
        <f t="shared" si="13"/>
        <v>623.157894736842</v>
      </c>
      <c r="AB20" s="8"/>
      <c r="AC20" s="8">
        <f t="shared" si="15"/>
        <v>83.2208726945569</v>
      </c>
      <c r="AD20" s="7">
        <f t="shared" si="16"/>
        <v>1.77598579211366</v>
      </c>
      <c r="AE20" s="7">
        <f t="shared" si="17"/>
        <v>1.76969140408273</v>
      </c>
      <c r="AF20" s="7">
        <f t="shared" si="18"/>
        <v>2.05242702963191</v>
      </c>
      <c r="AG20" s="7">
        <f t="shared" si="19"/>
        <v>18.7303244585766</v>
      </c>
      <c r="AH20" s="3"/>
      <c r="AI20" s="8">
        <v>1067.75</v>
      </c>
      <c r="AJ20" s="8">
        <f t="shared" ref="AJ19:AJ52" si="39">AI20/1728*100</f>
        <v>61.791087962963</v>
      </c>
      <c r="AK20" s="8">
        <v>626.081</v>
      </c>
      <c r="AL20" s="8">
        <f t="shared" si="21"/>
        <v>36.2315393518519</v>
      </c>
      <c r="AM20" s="8">
        <v>620.889</v>
      </c>
      <c r="AN20" s="8">
        <f t="shared" si="22"/>
        <v>35.9310763888889</v>
      </c>
      <c r="AO20" s="8">
        <v>155.79</v>
      </c>
      <c r="AP20" s="8">
        <f t="shared" si="23"/>
        <v>18.03125</v>
      </c>
      <c r="AQ20" s="8">
        <f t="shared" si="24"/>
        <v>1600</v>
      </c>
      <c r="AR20" s="2"/>
      <c r="AS20" s="7">
        <f t="shared" si="25"/>
        <v>1.49847810817139</v>
      </c>
      <c r="AT20" s="7">
        <f t="shared" si="26"/>
        <v>2.55557986905848</v>
      </c>
      <c r="AU20" s="7">
        <f t="shared" si="27"/>
        <v>2.57695014728881</v>
      </c>
      <c r="AV20" s="7">
        <f t="shared" si="28"/>
        <v>10.2702355735285</v>
      </c>
      <c r="AX20" s="1" t="s">
        <v>25</v>
      </c>
      <c r="AY20" s="8">
        <v>1150.4</v>
      </c>
      <c r="AZ20" s="8">
        <f t="shared" si="29"/>
        <v>56.3987920147468</v>
      </c>
      <c r="BA20" s="8">
        <v>1144.285</v>
      </c>
      <c r="BB20" s="8">
        <f t="shared" si="30"/>
        <v>56.0990018433541</v>
      </c>
      <c r="BC20" s="8">
        <v>339.45</v>
      </c>
      <c r="BD20" s="8">
        <f t="shared" si="31"/>
        <v>16.6416637251441</v>
      </c>
      <c r="BE20" s="8">
        <f t="shared" si="32"/>
        <v>1691.42857142857</v>
      </c>
      <c r="BF20" s="8">
        <f t="shared" si="33"/>
        <v>82.9229209038598</v>
      </c>
      <c r="BG20" s="7">
        <f t="shared" si="34"/>
        <v>1.47029604609577</v>
      </c>
      <c r="BH20" s="7">
        <f t="shared" si="35"/>
        <v>1.47815323230539</v>
      </c>
      <c r="BI20" s="7">
        <f t="shared" si="36"/>
        <v>4.98285040927551</v>
      </c>
    </row>
    <row r="21" ht="20.4" spans="1:61">
      <c r="A21" s="2">
        <v>3456</v>
      </c>
      <c r="B21" s="2">
        <v>77440</v>
      </c>
      <c r="C21" s="2">
        <v>1920</v>
      </c>
      <c r="D21" s="2">
        <v>4537</v>
      </c>
      <c r="E21" s="16">
        <v>63.5</v>
      </c>
      <c r="F21" s="2">
        <v>5812</v>
      </c>
      <c r="G21" s="17">
        <v>81.3</v>
      </c>
      <c r="H21" s="5">
        <v>17.8</v>
      </c>
      <c r="I21" s="7">
        <f t="shared" si="0"/>
        <v>1.28102270222614</v>
      </c>
      <c r="J21" s="7">
        <f t="shared" si="1"/>
        <v>1.92671328968061</v>
      </c>
      <c r="K21" s="7">
        <f t="shared" si="2"/>
        <v>1.91907005536841</v>
      </c>
      <c r="L21" s="7">
        <f t="shared" si="3"/>
        <v>2.22087325867602</v>
      </c>
      <c r="M21" s="7">
        <f t="shared" si="4"/>
        <v>20.0122580245298</v>
      </c>
      <c r="N21" s="8">
        <f t="shared" si="5"/>
        <v>3016.536</v>
      </c>
      <c r="O21" s="8">
        <f t="shared" si="6"/>
        <v>3028.5502</v>
      </c>
      <c r="P21" s="8">
        <f t="shared" si="7"/>
        <v>2616.9886</v>
      </c>
      <c r="Q21" s="8">
        <f t="shared" si="37"/>
        <v>290.422</v>
      </c>
      <c r="R21" s="3"/>
      <c r="S21" s="2">
        <v>350.76</v>
      </c>
      <c r="T21" s="8">
        <f t="shared" si="38"/>
        <v>46.8429487179487</v>
      </c>
      <c r="U21" s="2">
        <v>352.157</v>
      </c>
      <c r="V21" s="8">
        <f t="shared" si="10"/>
        <v>47.0295138888889</v>
      </c>
      <c r="W21" s="2">
        <v>304.301</v>
      </c>
      <c r="X21" s="8">
        <f t="shared" si="11"/>
        <v>40.6384882478633</v>
      </c>
      <c r="Y21" s="2">
        <v>33.77</v>
      </c>
      <c r="Z21" s="8">
        <f t="shared" si="12"/>
        <v>4.50988247863248</v>
      </c>
      <c r="AA21" s="8">
        <f t="shared" si="13"/>
        <v>611.789473684211</v>
      </c>
      <c r="AB21" s="8"/>
      <c r="AC21" s="8">
        <f t="shared" si="15"/>
        <v>81.7026540710751</v>
      </c>
      <c r="AD21" s="7">
        <f t="shared" si="16"/>
        <v>1.74418255697403</v>
      </c>
      <c r="AE21" s="7">
        <f t="shared" si="17"/>
        <v>1.73726341854403</v>
      </c>
      <c r="AF21" s="7">
        <f t="shared" si="18"/>
        <v>2.01047473943303</v>
      </c>
      <c r="AG21" s="7">
        <f t="shared" si="19"/>
        <v>18.1163598958902</v>
      </c>
      <c r="AH21" s="3"/>
      <c r="AI21" s="8">
        <v>1039.65</v>
      </c>
      <c r="AJ21" s="8">
        <f t="shared" si="39"/>
        <v>60.1649305555556</v>
      </c>
      <c r="AK21" s="8">
        <v>637.743</v>
      </c>
      <c r="AL21" s="8">
        <f t="shared" si="21"/>
        <v>36.9064236111111</v>
      </c>
      <c r="AM21" s="8">
        <v>623.975</v>
      </c>
      <c r="AN21" s="8">
        <f t="shared" si="22"/>
        <v>36.1096643518519</v>
      </c>
      <c r="AO21" s="8">
        <v>144.57</v>
      </c>
      <c r="AP21" s="8">
        <f t="shared" si="23"/>
        <v>16.7326388888889</v>
      </c>
      <c r="AQ21" s="8">
        <f t="shared" si="24"/>
        <v>1570.81081081081</v>
      </c>
      <c r="AR21" s="2"/>
      <c r="AS21" s="7">
        <f t="shared" si="25"/>
        <v>1.51090348753024</v>
      </c>
      <c r="AT21" s="7">
        <f t="shared" si="26"/>
        <v>2.4630780907212</v>
      </c>
      <c r="AU21" s="7">
        <f t="shared" si="27"/>
        <v>2.5174258757335</v>
      </c>
      <c r="AV21" s="7">
        <f t="shared" si="28"/>
        <v>10.8653995352481</v>
      </c>
      <c r="AX21" s="1"/>
      <c r="AY21" s="8">
        <v>1149.57</v>
      </c>
      <c r="AZ21" s="8">
        <f t="shared" si="29"/>
        <v>56.3581009530533</v>
      </c>
      <c r="BA21" s="8">
        <v>1140.574</v>
      </c>
      <c r="BB21" s="8">
        <f t="shared" si="30"/>
        <v>55.917068674746</v>
      </c>
      <c r="BC21" s="8">
        <v>343.07</v>
      </c>
      <c r="BD21" s="8">
        <f t="shared" si="31"/>
        <v>16.8191355845786</v>
      </c>
      <c r="BE21" s="8">
        <f t="shared" si="32"/>
        <v>1660.57142857143</v>
      </c>
      <c r="BF21" s="8">
        <f t="shared" si="33"/>
        <v>81.4101378873705</v>
      </c>
      <c r="BG21" s="7">
        <f t="shared" si="34"/>
        <v>1.44451527838359</v>
      </c>
      <c r="BH21" s="7">
        <f t="shared" si="35"/>
        <v>1.45590854128836</v>
      </c>
      <c r="BI21" s="7">
        <f t="shared" si="36"/>
        <v>4.84032829618279</v>
      </c>
    </row>
    <row r="22" ht="20.4" spans="1:61">
      <c r="A22" s="2">
        <v>3456</v>
      </c>
      <c r="B22" s="2">
        <v>78208</v>
      </c>
      <c r="C22" s="2">
        <v>1920</v>
      </c>
      <c r="D22" s="2">
        <v>4539</v>
      </c>
      <c r="E22" s="16">
        <v>63.5</v>
      </c>
      <c r="F22" s="2">
        <v>5906</v>
      </c>
      <c r="G22" s="17">
        <v>82.6</v>
      </c>
      <c r="H22" s="5">
        <v>19.1</v>
      </c>
      <c r="I22" s="7">
        <f t="shared" si="0"/>
        <v>1.30116765807447</v>
      </c>
      <c r="J22" s="7">
        <f t="shared" si="1"/>
        <v>1.94859741238405</v>
      </c>
      <c r="K22" s="7">
        <f t="shared" si="2"/>
        <v>1.96420268868951</v>
      </c>
      <c r="L22" s="7">
        <f t="shared" si="3"/>
        <v>2.23698089241069</v>
      </c>
      <c r="M22" s="7">
        <f t="shared" si="4"/>
        <v>20.9885142434753</v>
      </c>
      <c r="N22" s="8">
        <f t="shared" si="5"/>
        <v>3030.898</v>
      </c>
      <c r="O22" s="8">
        <f t="shared" si="6"/>
        <v>3006.818</v>
      </c>
      <c r="P22" s="8">
        <f t="shared" si="7"/>
        <v>2640.1656</v>
      </c>
      <c r="Q22" s="8">
        <f t="shared" si="37"/>
        <v>281.392</v>
      </c>
      <c r="R22" s="3"/>
      <c r="S22" s="2">
        <v>352.43</v>
      </c>
      <c r="T22" s="8">
        <f t="shared" si="38"/>
        <v>47.0659722222222</v>
      </c>
      <c r="U22" s="2">
        <v>349.63</v>
      </c>
      <c r="V22" s="8">
        <f t="shared" si="10"/>
        <v>46.6920405982906</v>
      </c>
      <c r="W22" s="2">
        <v>306.996</v>
      </c>
      <c r="X22" s="8">
        <f t="shared" si="11"/>
        <v>40.9983974358974</v>
      </c>
      <c r="Y22" s="2">
        <v>32.72</v>
      </c>
      <c r="Z22" s="8">
        <f t="shared" si="12"/>
        <v>4.36965811965812</v>
      </c>
      <c r="AA22" s="8">
        <f t="shared" si="13"/>
        <v>621.684210526316</v>
      </c>
      <c r="AB22" s="8"/>
      <c r="AC22" s="8">
        <f t="shared" si="15"/>
        <v>83.0240665766982</v>
      </c>
      <c r="AD22" s="7">
        <f t="shared" si="16"/>
        <v>1.7639934470003</v>
      </c>
      <c r="AE22" s="7">
        <f t="shared" si="17"/>
        <v>1.77812032870839</v>
      </c>
      <c r="AF22" s="7">
        <f t="shared" si="18"/>
        <v>2.02505638681389</v>
      </c>
      <c r="AG22" s="7">
        <f t="shared" si="19"/>
        <v>19.0001286835671</v>
      </c>
      <c r="AH22" s="3"/>
      <c r="AI22" s="8">
        <v>1060.47</v>
      </c>
      <c r="AJ22" s="8">
        <f t="shared" si="39"/>
        <v>61.3697916666667</v>
      </c>
      <c r="AK22" s="8">
        <v>632.708</v>
      </c>
      <c r="AL22" s="8">
        <f t="shared" si="21"/>
        <v>36.6150462962963</v>
      </c>
      <c r="AM22" s="8">
        <v>624.202</v>
      </c>
      <c r="AN22" s="8">
        <f t="shared" si="22"/>
        <v>36.1228009259259</v>
      </c>
      <c r="AO22" s="8">
        <v>150.28</v>
      </c>
      <c r="AP22" s="8">
        <f t="shared" si="23"/>
        <v>17.3935185185185</v>
      </c>
      <c r="AQ22" s="8">
        <f t="shared" si="24"/>
        <v>1596.21621621622</v>
      </c>
      <c r="AR22" s="2"/>
      <c r="AS22" s="7">
        <f t="shared" si="25"/>
        <v>1.50519695627054</v>
      </c>
      <c r="AT22" s="7">
        <f t="shared" si="26"/>
        <v>2.52283235902852</v>
      </c>
      <c r="AU22" s="7">
        <f t="shared" si="27"/>
        <v>2.55721099294173</v>
      </c>
      <c r="AV22" s="7">
        <f t="shared" si="28"/>
        <v>10.6216144278428</v>
      </c>
      <c r="AX22" s="1"/>
      <c r="AY22" s="8">
        <v>1152.63</v>
      </c>
      <c r="AZ22" s="8">
        <f t="shared" si="29"/>
        <v>56.5081186021885</v>
      </c>
      <c r="BA22" s="8">
        <v>1140.697</v>
      </c>
      <c r="BB22" s="8">
        <f t="shared" si="30"/>
        <v>55.9230987959368</v>
      </c>
      <c r="BC22" s="8">
        <v>344.52</v>
      </c>
      <c r="BD22" s="8">
        <f t="shared" si="31"/>
        <v>16.8902223791034</v>
      </c>
      <c r="BE22" s="8">
        <f t="shared" si="32"/>
        <v>1687.42857142857</v>
      </c>
      <c r="BF22" s="8">
        <f t="shared" si="33"/>
        <v>82.7268194017223</v>
      </c>
      <c r="BG22" s="7">
        <f t="shared" si="34"/>
        <v>1.46398113135054</v>
      </c>
      <c r="BH22" s="7">
        <f t="shared" si="35"/>
        <v>1.47929605445493</v>
      </c>
      <c r="BI22" s="7">
        <f t="shared" si="36"/>
        <v>4.89791179446352</v>
      </c>
    </row>
    <row r="23" ht="20.4" spans="1:61">
      <c r="A23" s="2">
        <v>3456</v>
      </c>
      <c r="B23" s="2">
        <v>80512</v>
      </c>
      <c r="C23" s="2">
        <v>1920</v>
      </c>
      <c r="D23" s="2">
        <v>4538</v>
      </c>
      <c r="E23" s="16">
        <v>63.5</v>
      </c>
      <c r="F23" s="2">
        <v>5799</v>
      </c>
      <c r="G23" s="17">
        <v>81.1</v>
      </c>
      <c r="H23" s="5">
        <v>17.6</v>
      </c>
      <c r="I23" s="7">
        <f t="shared" si="0"/>
        <v>1.27787571617453</v>
      </c>
      <c r="J23" s="7">
        <f t="shared" si="1"/>
        <v>1.90561629385727</v>
      </c>
      <c r="K23" s="7">
        <f t="shared" si="2"/>
        <v>1.92015378713332</v>
      </c>
      <c r="L23" s="7">
        <f t="shared" si="3"/>
        <v>2.1136811263985</v>
      </c>
      <c r="M23" s="7">
        <f t="shared" si="4"/>
        <v>18.484164626683</v>
      </c>
      <c r="N23" s="8">
        <f t="shared" si="5"/>
        <v>3043.11</v>
      </c>
      <c r="O23" s="8">
        <f t="shared" si="6"/>
        <v>3020.0706</v>
      </c>
      <c r="P23" s="8">
        <f t="shared" si="7"/>
        <v>2743.5548</v>
      </c>
      <c r="Q23" s="8">
        <f t="shared" si="37"/>
        <v>313.728</v>
      </c>
      <c r="R23" s="3"/>
      <c r="S23" s="2">
        <v>353.85</v>
      </c>
      <c r="T23" s="8">
        <f t="shared" si="38"/>
        <v>47.255608974359</v>
      </c>
      <c r="U23" s="2">
        <v>351.171</v>
      </c>
      <c r="V23" s="8">
        <f t="shared" si="10"/>
        <v>46.8978365384615</v>
      </c>
      <c r="W23" s="2">
        <v>319.018</v>
      </c>
      <c r="X23" s="8">
        <f t="shared" si="11"/>
        <v>42.6038995726496</v>
      </c>
      <c r="Y23" s="2">
        <v>36.48</v>
      </c>
      <c r="Z23" s="8">
        <f t="shared" si="12"/>
        <v>4.87179487179487</v>
      </c>
      <c r="AA23" s="8">
        <f t="shared" si="13"/>
        <v>610.421052631579</v>
      </c>
      <c r="AB23" s="8"/>
      <c r="AC23" s="8">
        <f t="shared" si="15"/>
        <v>81.5199055330634</v>
      </c>
      <c r="AD23" s="7">
        <f t="shared" si="16"/>
        <v>1.7250842239129</v>
      </c>
      <c r="AE23" s="7">
        <f t="shared" si="17"/>
        <v>1.73824448098385</v>
      </c>
      <c r="AF23" s="7">
        <f t="shared" si="18"/>
        <v>1.91343765126601</v>
      </c>
      <c r="AG23" s="7">
        <f t="shared" si="19"/>
        <v>16.7330332409972</v>
      </c>
      <c r="AH23" s="3"/>
      <c r="AI23" s="8">
        <v>1057.01</v>
      </c>
      <c r="AJ23" s="8">
        <f t="shared" si="39"/>
        <v>61.1695601851852</v>
      </c>
      <c r="AK23" s="8">
        <v>628.576</v>
      </c>
      <c r="AL23" s="8">
        <f t="shared" si="21"/>
        <v>36.3759259259259</v>
      </c>
      <c r="AM23" s="8">
        <v>615.137</v>
      </c>
      <c r="AN23" s="8">
        <f t="shared" si="22"/>
        <v>35.5982060185185</v>
      </c>
      <c r="AO23" s="8">
        <v>150.76</v>
      </c>
      <c r="AP23" s="8">
        <f t="shared" si="23"/>
        <v>17.4490740740741</v>
      </c>
      <c r="AQ23" s="8">
        <f t="shared" si="24"/>
        <v>1567.2972972973</v>
      </c>
      <c r="AR23" s="2"/>
      <c r="AS23" s="7">
        <f t="shared" si="25"/>
        <v>1.48276487194757</v>
      </c>
      <c r="AT23" s="7">
        <f t="shared" si="26"/>
        <v>2.49340938454109</v>
      </c>
      <c r="AU23" s="7">
        <f t="shared" si="27"/>
        <v>2.54788331265604</v>
      </c>
      <c r="AV23" s="7">
        <f t="shared" si="28"/>
        <v>10.3959757050763</v>
      </c>
      <c r="AX23" s="1"/>
      <c r="AY23" s="8">
        <v>1148.09</v>
      </c>
      <c r="AZ23" s="8">
        <f t="shared" si="29"/>
        <v>56.2855433972624</v>
      </c>
      <c r="BA23" s="8">
        <v>1142.082</v>
      </c>
      <c r="BB23" s="8">
        <f t="shared" si="30"/>
        <v>55.9909989410519</v>
      </c>
      <c r="BC23" s="8">
        <v>340.47</v>
      </c>
      <c r="BD23" s="8">
        <f t="shared" si="31"/>
        <v>16.6916696081892</v>
      </c>
      <c r="BE23" s="8">
        <f t="shared" si="32"/>
        <v>1656.85714285714</v>
      </c>
      <c r="BF23" s="8">
        <f t="shared" si="33"/>
        <v>81.2280436353857</v>
      </c>
      <c r="BG23" s="7">
        <f t="shared" si="34"/>
        <v>1.44314221259408</v>
      </c>
      <c r="BH23" s="7">
        <f t="shared" si="35"/>
        <v>1.45073396030858</v>
      </c>
      <c r="BI23" s="7">
        <f t="shared" si="36"/>
        <v>4.86638218596981</v>
      </c>
    </row>
    <row r="24" ht="20.4" spans="1:61">
      <c r="A24" s="2">
        <v>3456</v>
      </c>
      <c r="B24" s="2">
        <v>45568</v>
      </c>
      <c r="C24" s="2">
        <v>1920</v>
      </c>
      <c r="D24" s="2">
        <v>4549</v>
      </c>
      <c r="E24" s="16">
        <v>63.6</v>
      </c>
      <c r="F24" s="2">
        <v>5797</v>
      </c>
      <c r="G24" s="17">
        <v>81.1</v>
      </c>
      <c r="H24" s="5">
        <v>17.5</v>
      </c>
      <c r="I24" s="7">
        <f t="shared" si="0"/>
        <v>1.27434601011211</v>
      </c>
      <c r="J24" s="7">
        <f t="shared" si="1"/>
        <v>1.92135725976074</v>
      </c>
      <c r="K24" s="7">
        <f t="shared" si="2"/>
        <v>1.90794081874983</v>
      </c>
      <c r="L24" s="7">
        <f t="shared" si="3"/>
        <v>2.16870302281362</v>
      </c>
      <c r="M24" s="7">
        <f t="shared" si="4"/>
        <v>25.1237334119218</v>
      </c>
      <c r="N24" s="8">
        <f t="shared" si="5"/>
        <v>3017.138</v>
      </c>
      <c r="O24" s="8">
        <f t="shared" si="6"/>
        <v>3038.3542</v>
      </c>
      <c r="P24" s="8">
        <f t="shared" si="7"/>
        <v>2673.0262</v>
      </c>
      <c r="Q24" s="8">
        <f t="shared" si="37"/>
        <v>230.738</v>
      </c>
      <c r="R24" s="3"/>
      <c r="S24" s="2">
        <v>350.83</v>
      </c>
      <c r="T24" s="8">
        <f t="shared" si="38"/>
        <v>46.852297008547</v>
      </c>
      <c r="U24" s="2">
        <v>353.297</v>
      </c>
      <c r="V24" s="8">
        <f t="shared" si="10"/>
        <v>47.1817574786325</v>
      </c>
      <c r="W24" s="2">
        <v>310.817</v>
      </c>
      <c r="X24" s="8">
        <f t="shared" si="11"/>
        <v>41.5086805555556</v>
      </c>
      <c r="Y24" s="2">
        <v>26.83</v>
      </c>
      <c r="Z24" s="8">
        <f t="shared" si="12"/>
        <v>3.58306623931624</v>
      </c>
      <c r="AA24" s="8">
        <f t="shared" si="13"/>
        <v>610.210526315789</v>
      </c>
      <c r="AB24" s="8"/>
      <c r="AC24" s="8">
        <f t="shared" si="15"/>
        <v>81.4917903733693</v>
      </c>
      <c r="AD24" s="7">
        <f t="shared" si="16"/>
        <v>1.73933394041499</v>
      </c>
      <c r="AE24" s="7">
        <f t="shared" si="17"/>
        <v>1.72718853065775</v>
      </c>
      <c r="AF24" s="7">
        <f t="shared" si="18"/>
        <v>1.96324694696812</v>
      </c>
      <c r="AG24" s="7">
        <f t="shared" si="19"/>
        <v>22.7435902465818</v>
      </c>
      <c r="AH24" s="3"/>
      <c r="AI24" s="8">
        <v>1111.71</v>
      </c>
      <c r="AJ24" s="8">
        <f t="shared" si="39"/>
        <v>64.3350694444444</v>
      </c>
      <c r="AK24" s="8">
        <v>640.488</v>
      </c>
      <c r="AL24" s="8">
        <f t="shared" si="21"/>
        <v>37.0652777777778</v>
      </c>
      <c r="AM24" s="8">
        <v>619.853</v>
      </c>
      <c r="AN24" s="8">
        <f t="shared" si="22"/>
        <v>35.8711226851852</v>
      </c>
      <c r="AO24" s="8">
        <v>164.41</v>
      </c>
      <c r="AP24" s="8">
        <f t="shared" si="23"/>
        <v>19.0289351851852</v>
      </c>
      <c r="AQ24" s="8">
        <f t="shared" si="24"/>
        <v>1566.75675675676</v>
      </c>
      <c r="AR24" s="2"/>
      <c r="AS24" s="7">
        <f t="shared" si="25"/>
        <v>1.40932145681586</v>
      </c>
      <c r="AT24" s="7">
        <f t="shared" si="26"/>
        <v>2.44619221087164</v>
      </c>
      <c r="AU24" s="7">
        <f t="shared" si="27"/>
        <v>2.52762631907365</v>
      </c>
      <c r="AV24" s="7">
        <f t="shared" si="28"/>
        <v>9.52957093094554</v>
      </c>
      <c r="AX24" s="1"/>
      <c r="AY24" s="8">
        <v>1131.51</v>
      </c>
      <c r="AZ24" s="8">
        <f t="shared" si="29"/>
        <v>55.4727026709025</v>
      </c>
      <c r="BA24" s="8">
        <v>1148.794</v>
      </c>
      <c r="BB24" s="8">
        <f t="shared" si="30"/>
        <v>56.3200572616386</v>
      </c>
      <c r="BC24" s="8">
        <v>353.34</v>
      </c>
      <c r="BD24" s="8">
        <f t="shared" si="31"/>
        <v>17.3226261913166</v>
      </c>
      <c r="BE24" s="8">
        <f t="shared" si="32"/>
        <v>1656.28571428571</v>
      </c>
      <c r="BF24" s="8">
        <f t="shared" si="33"/>
        <v>81.2000291350803</v>
      </c>
      <c r="BG24" s="7">
        <f t="shared" si="34"/>
        <v>1.46378354083103</v>
      </c>
      <c r="BH24" s="7">
        <f t="shared" si="35"/>
        <v>1.44176041508374</v>
      </c>
      <c r="BI24" s="7">
        <f t="shared" si="36"/>
        <v>4.6875126345325</v>
      </c>
    </row>
    <row r="25" ht="20.4" spans="1:61">
      <c r="A25" s="2">
        <v>3456</v>
      </c>
      <c r="B25" s="2">
        <v>45184</v>
      </c>
      <c r="C25" s="2">
        <v>1920</v>
      </c>
      <c r="D25" s="2">
        <v>4561</v>
      </c>
      <c r="E25" s="16">
        <v>63.8</v>
      </c>
      <c r="F25" s="2">
        <v>5812</v>
      </c>
      <c r="G25" s="17">
        <v>81.3</v>
      </c>
      <c r="H25" s="5">
        <v>17.5</v>
      </c>
      <c r="I25" s="7">
        <f t="shared" si="0"/>
        <v>1.27428195571147</v>
      </c>
      <c r="J25" s="7">
        <f t="shared" si="1"/>
        <v>1.91611554717429</v>
      </c>
      <c r="K25" s="7">
        <f t="shared" si="2"/>
        <v>1.93037305156707</v>
      </c>
      <c r="L25" s="7">
        <f t="shared" si="3"/>
        <v>2.17311907047337</v>
      </c>
      <c r="M25" s="7">
        <f t="shared" si="4"/>
        <v>17.4945367198647</v>
      </c>
      <c r="N25" s="8">
        <f t="shared" si="5"/>
        <v>3033.22</v>
      </c>
      <c r="O25" s="8">
        <f t="shared" si="6"/>
        <v>3010.817</v>
      </c>
      <c r="P25" s="8">
        <f t="shared" si="7"/>
        <v>2674.4968</v>
      </c>
      <c r="Q25" s="8">
        <f t="shared" si="37"/>
        <v>332.218</v>
      </c>
      <c r="R25" s="3"/>
      <c r="S25" s="2">
        <v>352.7</v>
      </c>
      <c r="T25" s="8">
        <f t="shared" si="38"/>
        <v>47.1020299145299</v>
      </c>
      <c r="U25" s="2">
        <v>350.095</v>
      </c>
      <c r="V25" s="8">
        <f t="shared" si="10"/>
        <v>46.754139957265</v>
      </c>
      <c r="W25" s="2">
        <v>310.988</v>
      </c>
      <c r="X25" s="8">
        <f t="shared" si="11"/>
        <v>41.5315170940171</v>
      </c>
      <c r="Y25" s="2">
        <v>38.63</v>
      </c>
      <c r="Z25" s="8">
        <f t="shared" si="12"/>
        <v>5.15892094017094</v>
      </c>
      <c r="AA25" s="8">
        <f t="shared" si="13"/>
        <v>611.789473684211</v>
      </c>
      <c r="AB25" s="8"/>
      <c r="AC25" s="8">
        <f t="shared" si="15"/>
        <v>81.7026540710751</v>
      </c>
      <c r="AD25" s="7">
        <f t="shared" si="16"/>
        <v>1.7345888111262</v>
      </c>
      <c r="AE25" s="7">
        <f t="shared" si="17"/>
        <v>1.7474956045765</v>
      </c>
      <c r="AF25" s="7">
        <f t="shared" si="18"/>
        <v>1.967244632218</v>
      </c>
      <c r="AG25" s="7">
        <f t="shared" si="19"/>
        <v>15.8371595569301</v>
      </c>
      <c r="AH25" s="3"/>
      <c r="AI25" s="8">
        <v>1042.67</v>
      </c>
      <c r="AJ25" s="8">
        <f t="shared" si="39"/>
        <v>60.3396990740741</v>
      </c>
      <c r="AK25" s="8">
        <v>636.068</v>
      </c>
      <c r="AL25" s="8">
        <f t="shared" si="21"/>
        <v>36.8094907407407</v>
      </c>
      <c r="AM25" s="8">
        <v>623.021</v>
      </c>
      <c r="AN25" s="8">
        <f t="shared" si="22"/>
        <v>36.0544560185185</v>
      </c>
      <c r="AO25" s="8">
        <v>153.82</v>
      </c>
      <c r="AP25" s="8">
        <f t="shared" si="23"/>
        <v>17.8032407407407</v>
      </c>
      <c r="AQ25" s="8">
        <f t="shared" si="24"/>
        <v>1570.81081081081</v>
      </c>
      <c r="AR25" s="2"/>
      <c r="AS25" s="7">
        <f t="shared" si="25"/>
        <v>1.50652729129141</v>
      </c>
      <c r="AT25" s="7">
        <f t="shared" si="26"/>
        <v>2.4695642774213</v>
      </c>
      <c r="AU25" s="7">
        <f t="shared" si="27"/>
        <v>2.52128068044385</v>
      </c>
      <c r="AV25" s="7">
        <f t="shared" si="28"/>
        <v>10.2120063113432</v>
      </c>
      <c r="AX25" s="1"/>
      <c r="AY25" s="8">
        <v>1143.96</v>
      </c>
      <c r="AZ25" s="8">
        <f t="shared" si="29"/>
        <v>56.0830685963055</v>
      </c>
      <c r="BA25" s="8">
        <v>1157.457</v>
      </c>
      <c r="BB25" s="8">
        <f t="shared" si="30"/>
        <v>56.7447640898929</v>
      </c>
      <c r="BC25" s="8">
        <v>349.25</v>
      </c>
      <c r="BD25" s="8">
        <f t="shared" si="31"/>
        <v>17.122112405381</v>
      </c>
      <c r="BE25" s="8">
        <f t="shared" si="32"/>
        <v>1660.57142857143</v>
      </c>
      <c r="BF25" s="8">
        <f t="shared" si="33"/>
        <v>81.4101378873705</v>
      </c>
      <c r="BG25" s="7">
        <f t="shared" si="34"/>
        <v>1.45159920676547</v>
      </c>
      <c r="BH25" s="7">
        <f t="shared" si="35"/>
        <v>1.43467224144951</v>
      </c>
      <c r="BI25" s="7">
        <f t="shared" si="36"/>
        <v>4.75467839247367</v>
      </c>
    </row>
    <row r="26" ht="20.4" spans="1:61">
      <c r="A26" s="2">
        <v>3456</v>
      </c>
      <c r="B26" s="2">
        <v>37888</v>
      </c>
      <c r="C26" s="2">
        <v>1920</v>
      </c>
      <c r="D26" s="2">
        <v>4534</v>
      </c>
      <c r="E26" s="16">
        <v>63.4</v>
      </c>
      <c r="F26" s="2">
        <v>5652</v>
      </c>
      <c r="G26" s="17">
        <v>79.1</v>
      </c>
      <c r="H26" s="5">
        <v>15.7</v>
      </c>
      <c r="I26" s="7">
        <f t="shared" si="0"/>
        <v>1.24658138509043</v>
      </c>
      <c r="J26" s="7">
        <f t="shared" si="1"/>
        <v>1.87854595491091</v>
      </c>
      <c r="K26" s="7">
        <f t="shared" si="2"/>
        <v>1.85623505479539</v>
      </c>
      <c r="L26" s="7">
        <f t="shared" si="3"/>
        <v>2.14671155466355</v>
      </c>
      <c r="M26" s="7">
        <f t="shared" si="4"/>
        <v>25.9356472898809</v>
      </c>
      <c r="N26" s="8">
        <f t="shared" si="5"/>
        <v>3008.71</v>
      </c>
      <c r="O26" s="8">
        <f t="shared" si="6"/>
        <v>3044.873</v>
      </c>
      <c r="P26" s="8">
        <f t="shared" si="7"/>
        <v>2632.8642</v>
      </c>
      <c r="Q26" s="8">
        <f t="shared" si="37"/>
        <v>217.924</v>
      </c>
      <c r="R26" s="3"/>
      <c r="S26" s="2">
        <v>349.85</v>
      </c>
      <c r="T26" s="8">
        <f t="shared" si="38"/>
        <v>46.7214209401709</v>
      </c>
      <c r="U26" s="2">
        <v>354.055</v>
      </c>
      <c r="V26" s="8">
        <f t="shared" si="10"/>
        <v>47.2829861111111</v>
      </c>
      <c r="W26" s="2">
        <v>306.147</v>
      </c>
      <c r="X26" s="8">
        <f t="shared" si="11"/>
        <v>40.885016025641</v>
      </c>
      <c r="Y26" s="2">
        <v>25.34</v>
      </c>
      <c r="Z26" s="8">
        <f t="shared" si="12"/>
        <v>3.3840811965812</v>
      </c>
      <c r="AA26" s="8">
        <f t="shared" si="13"/>
        <v>594.947368421053</v>
      </c>
      <c r="AB26" s="8"/>
      <c r="AC26" s="8">
        <f t="shared" si="15"/>
        <v>79.4534412955466</v>
      </c>
      <c r="AD26" s="7">
        <f t="shared" si="16"/>
        <v>1.70057844339303</v>
      </c>
      <c r="AE26" s="7">
        <f t="shared" si="17"/>
        <v>1.68038120749898</v>
      </c>
      <c r="AF26" s="7">
        <f t="shared" si="18"/>
        <v>1.94333888106384</v>
      </c>
      <c r="AG26" s="7">
        <f t="shared" si="19"/>
        <v>23.4785859676816</v>
      </c>
      <c r="AH26" s="3"/>
      <c r="AI26" s="8">
        <v>1095.72</v>
      </c>
      <c r="AJ26" s="8">
        <f t="shared" si="39"/>
        <v>63.4097222222222</v>
      </c>
      <c r="AK26" s="8">
        <v>632.11</v>
      </c>
      <c r="AL26" s="8">
        <f t="shared" si="21"/>
        <v>36.5804398148148</v>
      </c>
      <c r="AM26" s="8">
        <v>614.246</v>
      </c>
      <c r="AN26" s="8">
        <f t="shared" si="22"/>
        <v>35.5466435185185</v>
      </c>
      <c r="AO26" s="8">
        <v>162.13</v>
      </c>
      <c r="AP26" s="8">
        <f t="shared" si="23"/>
        <v>18.7650462962963</v>
      </c>
      <c r="AQ26" s="8">
        <f t="shared" si="24"/>
        <v>1527.56756756757</v>
      </c>
      <c r="AR26" s="2"/>
      <c r="AS26" s="7">
        <f t="shared" si="25"/>
        <v>1.39412219140617</v>
      </c>
      <c r="AT26" s="7">
        <f t="shared" si="26"/>
        <v>2.41661667679291</v>
      </c>
      <c r="AU26" s="7">
        <f t="shared" si="27"/>
        <v>2.4868986815829</v>
      </c>
      <c r="AV26" s="7">
        <f t="shared" si="28"/>
        <v>9.42186867061967</v>
      </c>
      <c r="AX26" s="1"/>
      <c r="AY26" s="8">
        <v>1108.65</v>
      </c>
      <c r="AZ26" s="8">
        <f t="shared" si="29"/>
        <v>54.3519825861866</v>
      </c>
      <c r="BA26" s="8">
        <v>1155.142</v>
      </c>
      <c r="BB26" s="8">
        <f t="shared" si="30"/>
        <v>56.6312703455309</v>
      </c>
      <c r="BC26" s="8">
        <v>364.24</v>
      </c>
      <c r="BD26" s="8">
        <f t="shared" si="31"/>
        <v>17.8570027846413</v>
      </c>
      <c r="BE26" s="8">
        <f t="shared" si="32"/>
        <v>1614.85714285714</v>
      </c>
      <c r="BF26" s="8">
        <f t="shared" si="33"/>
        <v>79.1689778629419</v>
      </c>
      <c r="BG26" s="7">
        <f t="shared" si="34"/>
        <v>1.45659779268222</v>
      </c>
      <c r="BH26" s="7">
        <f t="shared" si="35"/>
        <v>1.39797284044485</v>
      </c>
      <c r="BI26" s="7">
        <f t="shared" si="36"/>
        <v>4.43349753694581</v>
      </c>
    </row>
    <row r="27" ht="20.4" spans="1:61">
      <c r="A27" s="2">
        <v>12672</v>
      </c>
      <c r="B27" s="2">
        <v>62464</v>
      </c>
      <c r="C27" s="2">
        <v>1920</v>
      </c>
      <c r="D27" s="2">
        <v>5778</v>
      </c>
      <c r="E27" s="16">
        <v>80.9</v>
      </c>
      <c r="F27" s="2">
        <v>6134</v>
      </c>
      <c r="G27" s="17">
        <v>85.8</v>
      </c>
      <c r="H27" s="5">
        <v>4.9</v>
      </c>
      <c r="I27" s="7">
        <f t="shared" si="0"/>
        <v>1.06161301488404</v>
      </c>
      <c r="J27" s="7">
        <f t="shared" si="1"/>
        <v>2.0095109425635</v>
      </c>
      <c r="K27" s="7">
        <f t="shared" si="2"/>
        <v>2.00238575742902</v>
      </c>
      <c r="L27" s="7">
        <f t="shared" si="3"/>
        <v>2.32584681640712</v>
      </c>
      <c r="M27" s="7">
        <f t="shared" si="4"/>
        <v>28.1919294052762</v>
      </c>
      <c r="N27" s="8">
        <f t="shared" si="5"/>
        <v>3052.484</v>
      </c>
      <c r="O27" s="8">
        <f t="shared" si="6"/>
        <v>3063.3458</v>
      </c>
      <c r="P27" s="8">
        <f t="shared" si="7"/>
        <v>2637.319</v>
      </c>
      <c r="Q27" s="8">
        <f t="shared" si="37"/>
        <v>217.58</v>
      </c>
      <c r="R27" s="3"/>
      <c r="S27" s="2">
        <v>354.94</v>
      </c>
      <c r="T27" s="8">
        <f t="shared" si="38"/>
        <v>47.4011752136752</v>
      </c>
      <c r="U27" s="2">
        <v>356.203</v>
      </c>
      <c r="V27" s="8">
        <f t="shared" si="10"/>
        <v>47.5698450854701</v>
      </c>
      <c r="W27" s="2">
        <v>306.665</v>
      </c>
      <c r="X27" s="8">
        <f t="shared" si="11"/>
        <v>40.9541933760684</v>
      </c>
      <c r="Y27" s="2">
        <v>25.3</v>
      </c>
      <c r="Z27" s="8">
        <f t="shared" si="12"/>
        <v>3.37873931623932</v>
      </c>
      <c r="AA27" s="8">
        <f t="shared" si="13"/>
        <v>645.684210526316</v>
      </c>
      <c r="AB27" s="8"/>
      <c r="AC27" s="8">
        <f t="shared" si="15"/>
        <v>86.2291947818264</v>
      </c>
      <c r="AD27" s="7">
        <f t="shared" si="16"/>
        <v>1.81913622168906</v>
      </c>
      <c r="AE27" s="7">
        <f t="shared" si="17"/>
        <v>1.81268605409364</v>
      </c>
      <c r="AF27" s="7">
        <f t="shared" si="18"/>
        <v>2.10550343380013</v>
      </c>
      <c r="AG27" s="7">
        <f t="shared" si="19"/>
        <v>25.5211150405658</v>
      </c>
      <c r="AH27" s="3"/>
      <c r="AI27" s="8">
        <v>1090.68</v>
      </c>
      <c r="AJ27" s="8">
        <f t="shared" si="39"/>
        <v>63.1180555555556</v>
      </c>
      <c r="AK27" s="8">
        <v>624.938</v>
      </c>
      <c r="AL27" s="8">
        <f t="shared" si="21"/>
        <v>36.1653935185185</v>
      </c>
      <c r="AM27" s="8">
        <v>613.064</v>
      </c>
      <c r="AN27" s="8">
        <f t="shared" si="22"/>
        <v>35.4782407407407</v>
      </c>
      <c r="AO27" s="8">
        <v>154.03</v>
      </c>
      <c r="AP27" s="8">
        <f t="shared" si="23"/>
        <v>17.8275462962963</v>
      </c>
      <c r="AQ27" s="8">
        <f t="shared" si="24"/>
        <v>1657.83783783784</v>
      </c>
      <c r="AR27" s="2"/>
      <c r="AS27" s="7">
        <f t="shared" si="25"/>
        <v>1.52000388550064</v>
      </c>
      <c r="AT27" s="7">
        <f t="shared" si="26"/>
        <v>2.65280369866745</v>
      </c>
      <c r="AU27" s="7">
        <f t="shared" si="27"/>
        <v>2.70418396421554</v>
      </c>
      <c r="AV27" s="7">
        <f t="shared" si="28"/>
        <v>10.7630840604937</v>
      </c>
      <c r="AX27" s="1"/>
      <c r="AY27" s="8">
        <v>1133.67</v>
      </c>
      <c r="AZ27" s="8">
        <f t="shared" si="29"/>
        <v>55.5785974820567</v>
      </c>
      <c r="BA27" s="8">
        <v>1184.061</v>
      </c>
      <c r="BB27" s="8">
        <f t="shared" si="30"/>
        <v>58.0490351806095</v>
      </c>
      <c r="BC27" s="8">
        <v>340.15</v>
      </c>
      <c r="BD27" s="8">
        <f t="shared" si="31"/>
        <v>16.6759814880182</v>
      </c>
      <c r="BE27" s="8">
        <f t="shared" si="32"/>
        <v>1752.57142857143</v>
      </c>
      <c r="BF27" s="8">
        <f t="shared" si="33"/>
        <v>85.9204724365332</v>
      </c>
      <c r="BG27" s="7">
        <f t="shared" si="34"/>
        <v>1.54592732326994</v>
      </c>
      <c r="BH27" s="7">
        <f t="shared" si="35"/>
        <v>1.48013609820054</v>
      </c>
      <c r="BI27" s="7">
        <f t="shared" si="36"/>
        <v>5.1523487537011</v>
      </c>
    </row>
    <row r="28" ht="20.4" spans="1:61">
      <c r="A28" s="2">
        <v>12672</v>
      </c>
      <c r="B28" s="2">
        <v>73984</v>
      </c>
      <c r="C28" s="2">
        <v>1920</v>
      </c>
      <c r="D28" s="2">
        <v>5751</v>
      </c>
      <c r="E28" s="16">
        <v>80.5</v>
      </c>
      <c r="F28" s="2">
        <v>6119</v>
      </c>
      <c r="G28" s="17">
        <v>85.6</v>
      </c>
      <c r="H28" s="5">
        <v>5.1</v>
      </c>
      <c r="I28" s="7">
        <f t="shared" si="0"/>
        <v>1.06398887150061</v>
      </c>
      <c r="J28" s="7">
        <f t="shared" si="1"/>
        <v>2.00776462528071</v>
      </c>
      <c r="K28" s="7">
        <f t="shared" si="2"/>
        <v>2.00199106337887</v>
      </c>
      <c r="L28" s="7">
        <f t="shared" si="3"/>
        <v>2.27061028764948</v>
      </c>
      <c r="M28" s="7">
        <f t="shared" si="4"/>
        <v>25.7887505584261</v>
      </c>
      <c r="N28" s="8">
        <f t="shared" si="5"/>
        <v>3047.668</v>
      </c>
      <c r="O28" s="8">
        <f t="shared" si="6"/>
        <v>3056.4572</v>
      </c>
      <c r="P28" s="8">
        <f t="shared" si="7"/>
        <v>2694.8702</v>
      </c>
      <c r="Q28" s="8">
        <f t="shared" si="37"/>
        <v>237.274</v>
      </c>
      <c r="R28" s="3"/>
      <c r="S28" s="2">
        <v>354.38</v>
      </c>
      <c r="T28" s="8">
        <f t="shared" si="38"/>
        <v>47.3263888888889</v>
      </c>
      <c r="U28" s="2">
        <v>355.402</v>
      </c>
      <c r="V28" s="8">
        <f t="shared" si="10"/>
        <v>47.4628739316239</v>
      </c>
      <c r="W28" s="2">
        <v>313.357</v>
      </c>
      <c r="X28" s="8">
        <f t="shared" si="11"/>
        <v>41.847889957265</v>
      </c>
      <c r="Y28" s="2">
        <v>27.59</v>
      </c>
      <c r="Z28" s="8">
        <f t="shared" si="12"/>
        <v>3.68456196581197</v>
      </c>
      <c r="AA28" s="8">
        <f t="shared" si="13"/>
        <v>644.105263157895</v>
      </c>
      <c r="AB28" s="8"/>
      <c r="AC28" s="8">
        <f t="shared" si="15"/>
        <v>86.0183310841206</v>
      </c>
      <c r="AD28" s="7">
        <f t="shared" si="16"/>
        <v>1.81755534499096</v>
      </c>
      <c r="AE28" s="7">
        <f t="shared" si="17"/>
        <v>1.8123287521114</v>
      </c>
      <c r="AF28" s="7">
        <f t="shared" si="18"/>
        <v>2.05549983934584</v>
      </c>
      <c r="AG28" s="7">
        <f t="shared" si="19"/>
        <v>23.3456057686805</v>
      </c>
      <c r="AH28" s="3"/>
      <c r="AI28" s="8">
        <v>1090.34</v>
      </c>
      <c r="AJ28" s="8">
        <f t="shared" si="39"/>
        <v>63.0983796296296</v>
      </c>
      <c r="AK28" s="8">
        <v>633.228</v>
      </c>
      <c r="AL28" s="8">
        <f t="shared" si="21"/>
        <v>36.6451388888889</v>
      </c>
      <c r="AM28" s="8">
        <v>613.958</v>
      </c>
      <c r="AN28" s="8">
        <f t="shared" si="22"/>
        <v>35.5299768518518</v>
      </c>
      <c r="AO28" s="8">
        <v>145.12</v>
      </c>
      <c r="AP28" s="8">
        <f t="shared" si="23"/>
        <v>16.7962962962963</v>
      </c>
      <c r="AQ28" s="8">
        <f t="shared" si="24"/>
        <v>1653.78378378378</v>
      </c>
      <c r="AR28" s="2"/>
      <c r="AS28" s="7">
        <f t="shared" si="25"/>
        <v>1.51675971145128</v>
      </c>
      <c r="AT28" s="7">
        <f t="shared" si="26"/>
        <v>2.61167191561931</v>
      </c>
      <c r="AU28" s="7">
        <f t="shared" si="27"/>
        <v>2.69364318696683</v>
      </c>
      <c r="AV28" s="7">
        <f t="shared" si="28"/>
        <v>11.3959742542984</v>
      </c>
      <c r="AX28" s="1"/>
      <c r="AY28" s="8">
        <v>1166.96</v>
      </c>
      <c r="AZ28" s="8">
        <f t="shared" si="29"/>
        <v>57.2106522335961</v>
      </c>
      <c r="BA28" s="8">
        <v>1181.113</v>
      </c>
      <c r="BB28" s="8">
        <f t="shared" si="30"/>
        <v>57.9045083735341</v>
      </c>
      <c r="BC28" s="8">
        <v>317.49</v>
      </c>
      <c r="BD28" s="8">
        <f t="shared" si="31"/>
        <v>15.5650664784092</v>
      </c>
      <c r="BE28" s="8">
        <f t="shared" si="32"/>
        <v>1748.28571428571</v>
      </c>
      <c r="BF28" s="8">
        <f t="shared" si="33"/>
        <v>85.710363684243</v>
      </c>
      <c r="BG28" s="7">
        <f t="shared" si="34"/>
        <v>1.49815393354161</v>
      </c>
      <c r="BH28" s="7">
        <f t="shared" si="35"/>
        <v>1.48020190641007</v>
      </c>
      <c r="BI28" s="7">
        <f t="shared" si="36"/>
        <v>5.50658513428994</v>
      </c>
    </row>
    <row r="29" ht="20.4" spans="1:61">
      <c r="A29" s="2">
        <v>12672</v>
      </c>
      <c r="B29" s="2">
        <v>64000</v>
      </c>
      <c r="C29" s="2">
        <v>1920</v>
      </c>
      <c r="D29" s="2">
        <v>5767</v>
      </c>
      <c r="E29" s="16">
        <v>80.7</v>
      </c>
      <c r="F29" s="2">
        <v>6102</v>
      </c>
      <c r="G29" s="17">
        <v>85.4</v>
      </c>
      <c r="H29" s="5">
        <v>4.7</v>
      </c>
      <c r="I29" s="7">
        <f t="shared" si="0"/>
        <v>1.05808912779608</v>
      </c>
      <c r="J29" s="7">
        <f t="shared" si="1"/>
        <v>2.01864884839094</v>
      </c>
      <c r="K29" s="7">
        <f t="shared" si="2"/>
        <v>2.00217529028261</v>
      </c>
      <c r="L29" s="7">
        <f t="shared" si="3"/>
        <v>2.24892197692846</v>
      </c>
      <c r="M29" s="7">
        <f t="shared" si="4"/>
        <v>28.6218186252896</v>
      </c>
      <c r="N29" s="8">
        <f t="shared" si="5"/>
        <v>3022.814</v>
      </c>
      <c r="O29" s="8">
        <f t="shared" si="6"/>
        <v>3047.6852</v>
      </c>
      <c r="P29" s="8">
        <f t="shared" si="7"/>
        <v>2713.3</v>
      </c>
      <c r="Q29" s="8">
        <f t="shared" si="37"/>
        <v>213.194</v>
      </c>
      <c r="R29" s="3"/>
      <c r="S29" s="2">
        <v>351.49</v>
      </c>
      <c r="T29" s="8">
        <f t="shared" si="38"/>
        <v>46.940438034188</v>
      </c>
      <c r="U29" s="2">
        <v>354.382</v>
      </c>
      <c r="V29" s="8">
        <f t="shared" si="10"/>
        <v>47.326655982906</v>
      </c>
      <c r="W29" s="2">
        <v>315.5</v>
      </c>
      <c r="X29" s="8">
        <f t="shared" si="11"/>
        <v>42.1340811965812</v>
      </c>
      <c r="Y29" s="2">
        <v>24.79</v>
      </c>
      <c r="Z29" s="8">
        <f t="shared" si="12"/>
        <v>3.31063034188034</v>
      </c>
      <c r="AA29" s="8">
        <f t="shared" si="13"/>
        <v>642.315789473684</v>
      </c>
      <c r="AB29" s="8"/>
      <c r="AC29" s="8">
        <f t="shared" si="15"/>
        <v>85.7793522267206</v>
      </c>
      <c r="AD29" s="7">
        <f t="shared" si="16"/>
        <v>1.82740843117495</v>
      </c>
      <c r="AE29" s="7">
        <f t="shared" si="17"/>
        <v>1.81249552594004</v>
      </c>
      <c r="AF29" s="7">
        <f t="shared" si="18"/>
        <v>2.03586621069314</v>
      </c>
      <c r="AG29" s="7">
        <f t="shared" si="19"/>
        <v>25.9102779134201</v>
      </c>
      <c r="AH29" s="3"/>
      <c r="AI29" s="8">
        <v>1111.72</v>
      </c>
      <c r="AJ29" s="8">
        <f t="shared" si="39"/>
        <v>64.3356481481482</v>
      </c>
      <c r="AK29" s="8">
        <v>630.415</v>
      </c>
      <c r="AL29" s="8">
        <f t="shared" si="21"/>
        <v>36.482349537037</v>
      </c>
      <c r="AM29" s="8">
        <v>606.643</v>
      </c>
      <c r="AN29" s="8">
        <f t="shared" si="22"/>
        <v>35.1066550925926</v>
      </c>
      <c r="AO29" s="8">
        <v>147.31</v>
      </c>
      <c r="AP29" s="8">
        <f t="shared" si="23"/>
        <v>17.0497685185185</v>
      </c>
      <c r="AQ29" s="8">
        <f t="shared" si="24"/>
        <v>1649.18918918919</v>
      </c>
      <c r="AR29" s="2"/>
      <c r="AS29" s="7">
        <f t="shared" si="25"/>
        <v>1.48345733565033</v>
      </c>
      <c r="AT29" s="7">
        <f t="shared" si="26"/>
        <v>2.61603735505848</v>
      </c>
      <c r="AU29" s="7">
        <f t="shared" si="27"/>
        <v>2.71854977175899</v>
      </c>
      <c r="AV29" s="7">
        <f t="shared" si="28"/>
        <v>11.1953648034023</v>
      </c>
      <c r="AX29" s="1"/>
      <c r="AY29" s="8">
        <v>1147.4</v>
      </c>
      <c r="AZ29" s="8">
        <f t="shared" si="29"/>
        <v>56.2517158881437</v>
      </c>
      <c r="BA29" s="8">
        <v>1183.398</v>
      </c>
      <c r="BB29" s="8">
        <f t="shared" si="30"/>
        <v>58.0165313566302</v>
      </c>
      <c r="BC29" s="8">
        <v>321.97</v>
      </c>
      <c r="BD29" s="8">
        <f t="shared" si="31"/>
        <v>15.7847001608032</v>
      </c>
      <c r="BE29" s="8">
        <f t="shared" si="32"/>
        <v>1743.42857142857</v>
      </c>
      <c r="BF29" s="8">
        <f t="shared" si="33"/>
        <v>85.4722404316474</v>
      </c>
      <c r="BG29" s="7">
        <f t="shared" si="34"/>
        <v>1.51946014591997</v>
      </c>
      <c r="BH29" s="7">
        <f t="shared" si="35"/>
        <v>1.47323941009582</v>
      </c>
      <c r="BI29" s="7">
        <f t="shared" si="36"/>
        <v>5.4148789372568</v>
      </c>
    </row>
    <row r="30" ht="20.4" spans="1:61">
      <c r="A30" s="2">
        <v>10368</v>
      </c>
      <c r="B30" s="2">
        <v>77824</v>
      </c>
      <c r="C30" s="2">
        <v>1920</v>
      </c>
      <c r="D30" s="2">
        <v>5622</v>
      </c>
      <c r="E30" s="16">
        <v>78.7</v>
      </c>
      <c r="F30" s="2">
        <v>6108</v>
      </c>
      <c r="G30" s="17">
        <v>85.5</v>
      </c>
      <c r="H30" s="5">
        <v>6.8</v>
      </c>
      <c r="I30" s="7">
        <f t="shared" si="0"/>
        <v>1.08644610458911</v>
      </c>
      <c r="J30" s="7">
        <f t="shared" si="1"/>
        <v>2.03908173219125</v>
      </c>
      <c r="K30" s="7">
        <f t="shared" si="2"/>
        <v>1.99447502987794</v>
      </c>
      <c r="L30" s="7">
        <f t="shared" si="3"/>
        <v>2.23832765994716</v>
      </c>
      <c r="M30" s="7">
        <f t="shared" si="4"/>
        <v>33.0648304534234</v>
      </c>
      <c r="N30" s="8">
        <f t="shared" si="5"/>
        <v>2995.466</v>
      </c>
      <c r="O30" s="8">
        <f t="shared" si="6"/>
        <v>3062.46</v>
      </c>
      <c r="P30" s="8">
        <f t="shared" si="7"/>
        <v>2728.823</v>
      </c>
      <c r="Q30" s="8">
        <f t="shared" si="37"/>
        <v>184.728</v>
      </c>
      <c r="R30" s="3"/>
      <c r="S30" s="2">
        <v>348.31</v>
      </c>
      <c r="T30" s="8">
        <f t="shared" si="38"/>
        <v>46.5157585470086</v>
      </c>
      <c r="U30" s="2">
        <v>356.1</v>
      </c>
      <c r="V30" s="8">
        <f t="shared" si="10"/>
        <v>47.5560897435898</v>
      </c>
      <c r="W30" s="2">
        <v>317.305</v>
      </c>
      <c r="X30" s="8">
        <f t="shared" si="11"/>
        <v>42.3751335470085</v>
      </c>
      <c r="Y30" s="2">
        <v>21.48</v>
      </c>
      <c r="Z30" s="8">
        <f t="shared" si="12"/>
        <v>2.86858974358974</v>
      </c>
      <c r="AA30" s="8">
        <f t="shared" si="13"/>
        <v>642.947368421053</v>
      </c>
      <c r="AB30" s="8"/>
      <c r="AC30" s="8">
        <f t="shared" si="15"/>
        <v>85.863697705803</v>
      </c>
      <c r="AD30" s="7">
        <f t="shared" si="16"/>
        <v>1.84590556808892</v>
      </c>
      <c r="AE30" s="7">
        <f t="shared" si="17"/>
        <v>1.8055247638895</v>
      </c>
      <c r="AF30" s="7">
        <f t="shared" si="18"/>
        <v>2.02627556584691</v>
      </c>
      <c r="AG30" s="7">
        <f t="shared" si="19"/>
        <v>29.9323728315201</v>
      </c>
      <c r="AH30" s="3"/>
      <c r="AI30" s="8">
        <v>1060.56</v>
      </c>
      <c r="AJ30" s="8">
        <f t="shared" si="39"/>
        <v>61.375</v>
      </c>
      <c r="AK30" s="8">
        <v>626.081</v>
      </c>
      <c r="AL30" s="8">
        <f t="shared" si="21"/>
        <v>36.2315393518519</v>
      </c>
      <c r="AM30" s="8">
        <v>628.044</v>
      </c>
      <c r="AN30" s="8">
        <f t="shared" si="22"/>
        <v>36.3451388888889</v>
      </c>
      <c r="AO30" s="8">
        <v>159.6</v>
      </c>
      <c r="AP30" s="8">
        <f t="shared" si="23"/>
        <v>18.4722222222222</v>
      </c>
      <c r="AQ30" s="8">
        <f t="shared" si="24"/>
        <v>1650.81081081081</v>
      </c>
      <c r="AR30" s="2"/>
      <c r="AS30" s="7">
        <f t="shared" si="25"/>
        <v>1.55654636306367</v>
      </c>
      <c r="AT30" s="7">
        <f t="shared" si="26"/>
        <v>2.63673679733263</v>
      </c>
      <c r="AU30" s="7">
        <f t="shared" si="27"/>
        <v>2.62849547294586</v>
      </c>
      <c r="AV30" s="7">
        <f t="shared" si="28"/>
        <v>10.3434261328998</v>
      </c>
      <c r="AX30" s="1"/>
      <c r="AY30" s="8">
        <v>1109.76</v>
      </c>
      <c r="AZ30" s="8">
        <f t="shared" si="29"/>
        <v>54.4064007530298</v>
      </c>
      <c r="BA30" s="8">
        <v>1173.62</v>
      </c>
      <c r="BB30" s="8">
        <f t="shared" si="30"/>
        <v>57.5371612346551</v>
      </c>
      <c r="BC30" s="8">
        <v>334.97</v>
      </c>
      <c r="BD30" s="8">
        <f t="shared" si="31"/>
        <v>16.4220300427501</v>
      </c>
      <c r="BE30" s="8">
        <f t="shared" si="32"/>
        <v>1745.14285714286</v>
      </c>
      <c r="BF30" s="8">
        <f t="shared" si="33"/>
        <v>85.5562839325635</v>
      </c>
      <c r="BG30" s="7">
        <f t="shared" si="34"/>
        <v>1.57254078101829</v>
      </c>
      <c r="BH30" s="7">
        <f t="shared" si="35"/>
        <v>1.48697436746379</v>
      </c>
      <c r="BI30" s="7">
        <f t="shared" si="36"/>
        <v>5.20984821668465</v>
      </c>
    </row>
    <row r="31" ht="20.4" spans="1:61">
      <c r="A31" s="2">
        <v>10368</v>
      </c>
      <c r="B31" s="2">
        <v>75904</v>
      </c>
      <c r="C31" s="2">
        <v>1920</v>
      </c>
      <c r="D31" s="2">
        <v>5658</v>
      </c>
      <c r="E31" s="16">
        <v>79.2</v>
      </c>
      <c r="F31" s="2">
        <v>6116</v>
      </c>
      <c r="G31" s="17">
        <v>85.6</v>
      </c>
      <c r="H31" s="5">
        <v>6.4</v>
      </c>
      <c r="I31" s="7">
        <f t="shared" si="0"/>
        <v>1.08094733121244</v>
      </c>
      <c r="J31" s="7">
        <f t="shared" si="1"/>
        <v>2.02812716582825</v>
      </c>
      <c r="K31" s="7">
        <f t="shared" si="2"/>
        <v>2.01163366295927</v>
      </c>
      <c r="L31" s="7">
        <f t="shared" si="3"/>
        <v>2.23427424920019</v>
      </c>
      <c r="M31" s="7">
        <f t="shared" si="4"/>
        <v>23.5328521077986</v>
      </c>
      <c r="N31" s="8">
        <f t="shared" si="5"/>
        <v>3015.59</v>
      </c>
      <c r="O31" s="8">
        <f t="shared" si="6"/>
        <v>3040.315</v>
      </c>
      <c r="P31" s="8">
        <f t="shared" si="7"/>
        <v>2737.3542</v>
      </c>
      <c r="Q31" s="8">
        <f t="shared" si="37"/>
        <v>259.892</v>
      </c>
      <c r="R31" s="3"/>
      <c r="S31" s="2">
        <v>350.65</v>
      </c>
      <c r="T31" s="8">
        <f t="shared" si="38"/>
        <v>46.8282585470085</v>
      </c>
      <c r="U31" s="2">
        <v>353.525</v>
      </c>
      <c r="V31" s="8">
        <f t="shared" si="10"/>
        <v>47.2122061965812</v>
      </c>
      <c r="W31" s="2">
        <v>318.297</v>
      </c>
      <c r="X31" s="8">
        <f t="shared" si="11"/>
        <v>42.5076121794872</v>
      </c>
      <c r="Y31" s="2">
        <v>30.22</v>
      </c>
      <c r="Z31" s="8">
        <f t="shared" si="12"/>
        <v>4.0357905982906</v>
      </c>
      <c r="AA31" s="8">
        <f t="shared" si="13"/>
        <v>643.789473684211</v>
      </c>
      <c r="AB31" s="8"/>
      <c r="AC31" s="8">
        <f t="shared" si="15"/>
        <v>85.9761583445794</v>
      </c>
      <c r="AD31" s="7">
        <f t="shared" si="16"/>
        <v>1.83598880274978</v>
      </c>
      <c r="AE31" s="7">
        <f t="shared" si="17"/>
        <v>1.82105784225786</v>
      </c>
      <c r="AF31" s="7">
        <f t="shared" si="18"/>
        <v>2.02260616243386</v>
      </c>
      <c r="AG31" s="7">
        <f t="shared" si="19"/>
        <v>21.3034240133756</v>
      </c>
      <c r="AH31" s="3"/>
      <c r="AI31" s="8">
        <v>1065.12</v>
      </c>
      <c r="AJ31" s="8">
        <f t="shared" si="39"/>
        <v>61.6388888888889</v>
      </c>
      <c r="AK31" s="8">
        <v>633.521</v>
      </c>
      <c r="AL31" s="8">
        <f t="shared" si="21"/>
        <v>36.6620949074074</v>
      </c>
      <c r="AM31" s="8">
        <v>624.626</v>
      </c>
      <c r="AN31" s="8">
        <f t="shared" si="22"/>
        <v>36.147337962963</v>
      </c>
      <c r="AO31" s="8">
        <v>136.02</v>
      </c>
      <c r="AP31" s="8">
        <f t="shared" si="23"/>
        <v>15.7430555555556</v>
      </c>
      <c r="AQ31" s="8">
        <f t="shared" si="24"/>
        <v>1652.97297297297</v>
      </c>
      <c r="AR31" s="2"/>
      <c r="AS31" s="7">
        <f t="shared" si="25"/>
        <v>1.55191243519319</v>
      </c>
      <c r="AT31" s="7">
        <f t="shared" si="26"/>
        <v>2.60918418327565</v>
      </c>
      <c r="AU31" s="7">
        <f t="shared" si="27"/>
        <v>2.64634032680832</v>
      </c>
      <c r="AV31" s="7">
        <f t="shared" si="28"/>
        <v>12.1524259151079</v>
      </c>
      <c r="AX31" s="1"/>
      <c r="AY31" s="8">
        <v>1167.83</v>
      </c>
      <c r="AZ31" s="8">
        <f t="shared" si="29"/>
        <v>57.253304310311</v>
      </c>
      <c r="BA31" s="8">
        <v>1189.043</v>
      </c>
      <c r="BB31" s="8">
        <f t="shared" si="30"/>
        <v>58.2932796015217</v>
      </c>
      <c r="BC31" s="8">
        <v>317.29</v>
      </c>
      <c r="BD31" s="8">
        <f t="shared" si="31"/>
        <v>15.5552614033024</v>
      </c>
      <c r="BE31" s="8">
        <f t="shared" si="32"/>
        <v>1747.42857142857</v>
      </c>
      <c r="BF31" s="8">
        <f t="shared" si="33"/>
        <v>85.6683419337849</v>
      </c>
      <c r="BG31" s="7">
        <f t="shared" si="34"/>
        <v>1.49630388963169</v>
      </c>
      <c r="BH31" s="7">
        <f t="shared" si="35"/>
        <v>1.46960923316362</v>
      </c>
      <c r="BI31" s="7">
        <f t="shared" si="36"/>
        <v>5.50735469579429</v>
      </c>
    </row>
    <row r="32" ht="20.4" spans="1:61">
      <c r="A32" s="2">
        <v>10368</v>
      </c>
      <c r="B32" s="2">
        <v>80896</v>
      </c>
      <c r="C32" s="2">
        <v>1920</v>
      </c>
      <c r="D32" s="2">
        <v>5676</v>
      </c>
      <c r="E32" s="16">
        <v>79.4</v>
      </c>
      <c r="F32" s="2">
        <v>6114</v>
      </c>
      <c r="G32" s="17">
        <v>85.6</v>
      </c>
      <c r="H32" s="5">
        <v>6.2</v>
      </c>
      <c r="I32" s="7">
        <f t="shared" si="0"/>
        <v>1.07716701902748</v>
      </c>
      <c r="J32" s="7">
        <f t="shared" si="1"/>
        <v>2.00935596099076</v>
      </c>
      <c r="K32" s="7">
        <f t="shared" si="2"/>
        <v>2.00635048980679</v>
      </c>
      <c r="L32" s="7">
        <f t="shared" si="3"/>
        <v>2.29707274634771</v>
      </c>
      <c r="M32" s="7">
        <f t="shared" si="4"/>
        <v>31.5688380354414</v>
      </c>
      <c r="N32" s="8">
        <f t="shared" si="5"/>
        <v>3042.766</v>
      </c>
      <c r="O32" s="8">
        <f t="shared" si="6"/>
        <v>3047.324</v>
      </c>
      <c r="P32" s="8">
        <f t="shared" si="7"/>
        <v>2661.6484</v>
      </c>
      <c r="Q32" s="8">
        <f t="shared" si="37"/>
        <v>193.672</v>
      </c>
      <c r="R32" s="3"/>
      <c r="S32" s="2">
        <v>353.81</v>
      </c>
      <c r="T32" s="8">
        <f t="shared" si="38"/>
        <v>47.2502670940171</v>
      </c>
      <c r="U32" s="2">
        <v>354.34</v>
      </c>
      <c r="V32" s="8">
        <f t="shared" si="10"/>
        <v>47.321047008547</v>
      </c>
      <c r="W32" s="2">
        <v>309.494</v>
      </c>
      <c r="X32" s="8">
        <f t="shared" si="11"/>
        <v>41.3319978632479</v>
      </c>
      <c r="Y32" s="2">
        <v>22.52</v>
      </c>
      <c r="Z32" s="8">
        <f t="shared" si="12"/>
        <v>3.00747863247863</v>
      </c>
      <c r="AA32" s="8">
        <f t="shared" si="13"/>
        <v>643.578947368421</v>
      </c>
      <c r="AB32" s="8"/>
      <c r="AC32" s="8">
        <f t="shared" si="15"/>
        <v>85.9480431848853</v>
      </c>
      <c r="AD32" s="7">
        <f t="shared" si="16"/>
        <v>1.81899592258111</v>
      </c>
      <c r="AE32" s="7">
        <f t="shared" si="17"/>
        <v>1.81627518024615</v>
      </c>
      <c r="AF32" s="7">
        <f t="shared" si="18"/>
        <v>2.07945532827267</v>
      </c>
      <c r="AG32" s="7">
        <f t="shared" si="19"/>
        <v>28.5781060110311</v>
      </c>
      <c r="AH32" s="3"/>
      <c r="AI32" s="8">
        <v>1070.83</v>
      </c>
      <c r="AJ32" s="8">
        <f t="shared" si="39"/>
        <v>61.9693287037037</v>
      </c>
      <c r="AK32" s="8">
        <v>627.085</v>
      </c>
      <c r="AL32" s="8">
        <f t="shared" si="21"/>
        <v>36.2896412037037</v>
      </c>
      <c r="AM32" s="8">
        <v>625.36</v>
      </c>
      <c r="AN32" s="8">
        <f t="shared" si="22"/>
        <v>36.1898148148148</v>
      </c>
      <c r="AO32" s="8">
        <v>147.7</v>
      </c>
      <c r="AP32" s="8">
        <f t="shared" si="23"/>
        <v>17.0949074074074</v>
      </c>
      <c r="AQ32" s="8">
        <f t="shared" si="24"/>
        <v>1652.43243243243</v>
      </c>
      <c r="AR32" s="2"/>
      <c r="AS32" s="7">
        <f t="shared" si="25"/>
        <v>1.5431323668859</v>
      </c>
      <c r="AT32" s="7">
        <f t="shared" si="26"/>
        <v>2.63510119430768</v>
      </c>
      <c r="AU32" s="7">
        <f t="shared" si="27"/>
        <v>2.64236988683707</v>
      </c>
      <c r="AV32" s="7">
        <f t="shared" si="28"/>
        <v>11.1877618986624</v>
      </c>
      <c r="AX32" s="1"/>
      <c r="AY32" s="8">
        <v>1142.68</v>
      </c>
      <c r="AZ32" s="8">
        <f t="shared" si="29"/>
        <v>56.0203161156214</v>
      </c>
      <c r="BA32" s="8">
        <v>1181.521</v>
      </c>
      <c r="BB32" s="8">
        <f t="shared" si="30"/>
        <v>57.9245107267522</v>
      </c>
      <c r="BC32" s="8">
        <v>326.8</v>
      </c>
      <c r="BD32" s="8">
        <f t="shared" si="31"/>
        <v>16.0214927246343</v>
      </c>
      <c r="BE32" s="8">
        <f t="shared" si="32"/>
        <v>1746.85714285714</v>
      </c>
      <c r="BF32" s="8">
        <f t="shared" si="33"/>
        <v>85.6403274334796</v>
      </c>
      <c r="BG32" s="7">
        <f t="shared" si="34"/>
        <v>1.52873695422791</v>
      </c>
      <c r="BH32" s="7">
        <f t="shared" si="35"/>
        <v>1.47848167138556</v>
      </c>
      <c r="BI32" s="7">
        <f t="shared" si="36"/>
        <v>5.3453400944221</v>
      </c>
    </row>
    <row r="33" ht="20.4" spans="1:61">
      <c r="A33" s="2">
        <v>8064</v>
      </c>
      <c r="B33" s="2">
        <v>76288</v>
      </c>
      <c r="C33" s="2">
        <v>1920</v>
      </c>
      <c r="D33" s="2">
        <v>5485</v>
      </c>
      <c r="E33" s="16">
        <v>76.8</v>
      </c>
      <c r="F33" s="2">
        <v>6068</v>
      </c>
      <c r="G33" s="17">
        <v>84.9</v>
      </c>
      <c r="H33" s="5">
        <v>8.1</v>
      </c>
      <c r="I33" s="7">
        <f t="shared" si="0"/>
        <v>1.10628988149499</v>
      </c>
      <c r="J33" s="7">
        <f t="shared" si="1"/>
        <v>1.99683428710581</v>
      </c>
      <c r="K33" s="7">
        <f t="shared" si="2"/>
        <v>2.00204123743041</v>
      </c>
      <c r="L33" s="7">
        <f t="shared" si="3"/>
        <v>2.26662232035785</v>
      </c>
      <c r="M33" s="7">
        <f t="shared" si="4"/>
        <v>30.2694721299372</v>
      </c>
      <c r="N33" s="8">
        <f t="shared" si="5"/>
        <v>3038.81</v>
      </c>
      <c r="O33" s="8">
        <f t="shared" si="6"/>
        <v>3030.9066</v>
      </c>
      <c r="P33" s="8">
        <f t="shared" si="7"/>
        <v>2677.1112</v>
      </c>
      <c r="Q33" s="8">
        <f t="shared" si="37"/>
        <v>200.466</v>
      </c>
      <c r="R33" s="3"/>
      <c r="S33" s="2">
        <v>353.35</v>
      </c>
      <c r="T33" s="8">
        <f t="shared" si="38"/>
        <v>47.1888354700855</v>
      </c>
      <c r="U33" s="2">
        <v>352.431</v>
      </c>
      <c r="V33" s="8">
        <f t="shared" si="10"/>
        <v>47.0661057692308</v>
      </c>
      <c r="W33" s="2">
        <v>311.292</v>
      </c>
      <c r="X33" s="8">
        <f t="shared" si="11"/>
        <v>41.5721153846154</v>
      </c>
      <c r="Y33" s="2">
        <v>23.31</v>
      </c>
      <c r="Z33" s="8">
        <f t="shared" si="12"/>
        <v>3.11298076923077</v>
      </c>
      <c r="AA33" s="8">
        <f t="shared" si="13"/>
        <v>638.736842105263</v>
      </c>
      <c r="AB33" s="8"/>
      <c r="AC33" s="8">
        <f t="shared" si="15"/>
        <v>85.3013945119208</v>
      </c>
      <c r="AD33" s="7">
        <f t="shared" si="16"/>
        <v>1.80766051253789</v>
      </c>
      <c r="AE33" s="7">
        <f t="shared" si="17"/>
        <v>1.81237417283174</v>
      </c>
      <c r="AF33" s="7">
        <f t="shared" si="18"/>
        <v>2.05188967948185</v>
      </c>
      <c r="AG33" s="7">
        <f t="shared" si="19"/>
        <v>27.4018379281537</v>
      </c>
      <c r="AH33" s="3"/>
      <c r="AI33" s="8">
        <v>1086.56</v>
      </c>
      <c r="AJ33" s="8">
        <f t="shared" si="39"/>
        <v>62.8796296296296</v>
      </c>
      <c r="AK33" s="8">
        <v>632.215</v>
      </c>
      <c r="AL33" s="8">
        <f t="shared" si="21"/>
        <v>36.5865162037037</v>
      </c>
      <c r="AM33" s="8">
        <v>610.442</v>
      </c>
      <c r="AN33" s="8">
        <f t="shared" si="22"/>
        <v>35.3265046296296</v>
      </c>
      <c r="AO33" s="8">
        <v>151.46</v>
      </c>
      <c r="AP33" s="8">
        <f t="shared" si="23"/>
        <v>17.5300925925926</v>
      </c>
      <c r="AQ33" s="8">
        <f t="shared" si="24"/>
        <v>1640</v>
      </c>
      <c r="AR33" s="2"/>
      <c r="AS33" s="7">
        <f t="shared" si="25"/>
        <v>1.50935061110293</v>
      </c>
      <c r="AT33" s="7">
        <f t="shared" si="26"/>
        <v>2.59405423787794</v>
      </c>
      <c r="AU33" s="7">
        <f t="shared" si="27"/>
        <v>2.68657792222685</v>
      </c>
      <c r="AV33" s="7">
        <f t="shared" si="28"/>
        <v>10.8279413706589</v>
      </c>
      <c r="AX33" s="1"/>
      <c r="AY33" s="8">
        <v>1144.49</v>
      </c>
      <c r="AZ33" s="8">
        <f t="shared" si="29"/>
        <v>56.1090520453387</v>
      </c>
      <c r="BA33" s="8">
        <v>1176.57</v>
      </c>
      <c r="BB33" s="8">
        <f t="shared" si="30"/>
        <v>57.6817860924815</v>
      </c>
      <c r="BC33" s="8">
        <v>319.62</v>
      </c>
      <c r="BD33" s="8">
        <f t="shared" si="31"/>
        <v>15.6694905282974</v>
      </c>
      <c r="BE33" s="8">
        <f t="shared" si="32"/>
        <v>1733.71428571429</v>
      </c>
      <c r="BF33" s="8">
        <f t="shared" si="33"/>
        <v>84.9959939264563</v>
      </c>
      <c r="BG33" s="7">
        <f t="shared" si="34"/>
        <v>1.51483567852431</v>
      </c>
      <c r="BH33" s="7">
        <f t="shared" si="35"/>
        <v>1.47353262934996</v>
      </c>
      <c r="BI33" s="7">
        <f t="shared" si="36"/>
        <v>5.42429849732271</v>
      </c>
    </row>
    <row r="34" ht="20.4" spans="1:61">
      <c r="A34" s="2">
        <v>8064</v>
      </c>
      <c r="B34" s="2">
        <v>74752</v>
      </c>
      <c r="C34" s="2">
        <v>1920</v>
      </c>
      <c r="D34" s="2">
        <v>5472</v>
      </c>
      <c r="E34" s="16">
        <v>76.6</v>
      </c>
      <c r="F34" s="2">
        <v>6066</v>
      </c>
      <c r="G34" s="17">
        <v>84.9</v>
      </c>
      <c r="H34" s="5">
        <v>8.3</v>
      </c>
      <c r="I34" s="7">
        <f t="shared" si="0"/>
        <v>1.10855263157895</v>
      </c>
      <c r="J34" s="7">
        <f t="shared" si="1"/>
        <v>2.00976988035475</v>
      </c>
      <c r="K34" s="7">
        <f t="shared" si="2"/>
        <v>1.9840199069218</v>
      </c>
      <c r="L34" s="7">
        <f t="shared" si="3"/>
        <v>2.28373180299459</v>
      </c>
      <c r="M34" s="7">
        <f t="shared" si="4"/>
        <v>30.3506384341352</v>
      </c>
      <c r="N34" s="8">
        <f t="shared" si="5"/>
        <v>3018.256</v>
      </c>
      <c r="O34" s="8">
        <f t="shared" si="6"/>
        <v>3057.429</v>
      </c>
      <c r="P34" s="8">
        <f t="shared" si="7"/>
        <v>2656.1788</v>
      </c>
      <c r="Q34" s="8">
        <f t="shared" si="37"/>
        <v>199.864</v>
      </c>
      <c r="R34" s="3"/>
      <c r="S34" s="2">
        <v>350.96</v>
      </c>
      <c r="T34" s="8">
        <f t="shared" si="38"/>
        <v>46.8696581196581</v>
      </c>
      <c r="U34" s="2">
        <v>355.515</v>
      </c>
      <c r="V34" s="8">
        <f t="shared" si="10"/>
        <v>47.4779647435897</v>
      </c>
      <c r="W34" s="2">
        <v>308.858</v>
      </c>
      <c r="X34" s="8">
        <f t="shared" si="11"/>
        <v>41.247061965812</v>
      </c>
      <c r="Y34" s="2">
        <v>23.24</v>
      </c>
      <c r="Z34" s="8">
        <f t="shared" si="12"/>
        <v>3.10363247863248</v>
      </c>
      <c r="AA34" s="8">
        <f t="shared" si="13"/>
        <v>638.526315789474</v>
      </c>
      <c r="AB34" s="8"/>
      <c r="AC34" s="8">
        <f t="shared" si="15"/>
        <v>85.2732793522267</v>
      </c>
      <c r="AD34" s="7">
        <f t="shared" si="16"/>
        <v>1.81937062853167</v>
      </c>
      <c r="AE34" s="7">
        <f t="shared" si="17"/>
        <v>1.79606012626605</v>
      </c>
      <c r="AF34" s="7">
        <f t="shared" si="18"/>
        <v>2.06737826376352</v>
      </c>
      <c r="AG34" s="7">
        <f t="shared" si="19"/>
        <v>27.4753147930066</v>
      </c>
      <c r="AH34" s="3"/>
      <c r="AI34" s="8">
        <v>1087.51</v>
      </c>
      <c r="AJ34" s="8">
        <f t="shared" si="39"/>
        <v>62.9346064814815</v>
      </c>
      <c r="AK34" s="8">
        <v>639.512</v>
      </c>
      <c r="AL34" s="8">
        <f t="shared" si="21"/>
        <v>37.0087962962963</v>
      </c>
      <c r="AM34" s="8">
        <v>614.128</v>
      </c>
      <c r="AN34" s="8">
        <f t="shared" si="22"/>
        <v>35.5398148148148</v>
      </c>
      <c r="AO34" s="8">
        <v>152.56</v>
      </c>
      <c r="AP34" s="8">
        <f t="shared" si="23"/>
        <v>17.6574074074074</v>
      </c>
      <c r="AQ34" s="8">
        <f t="shared" si="24"/>
        <v>1639.45945945946</v>
      </c>
      <c r="AR34" s="2"/>
      <c r="AS34" s="7">
        <f t="shared" si="25"/>
        <v>1.50753506584717</v>
      </c>
      <c r="AT34" s="7">
        <f t="shared" si="26"/>
        <v>2.563610158151</v>
      </c>
      <c r="AU34" s="7">
        <f t="shared" si="27"/>
        <v>2.6695728894619</v>
      </c>
      <c r="AV34" s="7">
        <f t="shared" si="28"/>
        <v>10.746325769923</v>
      </c>
      <c r="AX34" s="1"/>
      <c r="AY34" s="8">
        <v>1127.15</v>
      </c>
      <c r="AZ34" s="8">
        <f t="shared" si="29"/>
        <v>55.2589520335726</v>
      </c>
      <c r="BA34" s="8">
        <v>1174.739</v>
      </c>
      <c r="BB34" s="8">
        <f t="shared" si="30"/>
        <v>57.592020629878</v>
      </c>
      <c r="BC34" s="8">
        <v>329.51</v>
      </c>
      <c r="BD34" s="8">
        <f t="shared" si="31"/>
        <v>16.1543514923324</v>
      </c>
      <c r="BE34" s="8">
        <f t="shared" si="32"/>
        <v>1733.14285714286</v>
      </c>
      <c r="BF34" s="8">
        <f t="shared" si="33"/>
        <v>84.967979426151</v>
      </c>
      <c r="BG34" s="7">
        <f t="shared" si="34"/>
        <v>1.53763284136349</v>
      </c>
      <c r="BH34" s="7">
        <f t="shared" si="35"/>
        <v>1.47534291203651</v>
      </c>
      <c r="BI34" s="7">
        <f t="shared" si="36"/>
        <v>5.25975799563855</v>
      </c>
    </row>
    <row r="35" ht="20.4" spans="1:61">
      <c r="A35" s="2">
        <v>8064</v>
      </c>
      <c r="B35" s="2">
        <v>62424</v>
      </c>
      <c r="C35" s="2">
        <v>1920</v>
      </c>
      <c r="D35" s="2">
        <v>5482</v>
      </c>
      <c r="E35" s="16">
        <v>76.7</v>
      </c>
      <c r="F35" s="2">
        <v>6071</v>
      </c>
      <c r="G35" s="17">
        <v>85</v>
      </c>
      <c r="H35" s="5">
        <v>8.3</v>
      </c>
      <c r="I35" s="7">
        <f t="shared" si="0"/>
        <v>1.10744253921926</v>
      </c>
      <c r="J35" s="7">
        <f t="shared" si="1"/>
        <v>1.9894885792017</v>
      </c>
      <c r="K35" s="7">
        <f t="shared" si="2"/>
        <v>2.00001199150659</v>
      </c>
      <c r="L35" s="7">
        <f t="shared" si="3"/>
        <v>2.25251113622064</v>
      </c>
      <c r="M35" s="7">
        <f t="shared" si="4"/>
        <v>13.4411696983652</v>
      </c>
      <c r="N35" s="8">
        <f t="shared" si="5"/>
        <v>3051.538</v>
      </c>
      <c r="O35" s="8">
        <f t="shared" si="6"/>
        <v>3035.4818</v>
      </c>
      <c r="P35" s="8">
        <f t="shared" si="7"/>
        <v>2695.2142</v>
      </c>
      <c r="Q35" s="8">
        <f t="shared" si="37"/>
        <v>451.672</v>
      </c>
      <c r="R35" s="3"/>
      <c r="S35" s="2">
        <v>354.83</v>
      </c>
      <c r="T35" s="8">
        <f t="shared" si="38"/>
        <v>47.386485042735</v>
      </c>
      <c r="U35" s="2">
        <v>352.963</v>
      </c>
      <c r="V35" s="8">
        <f t="shared" si="10"/>
        <v>47.1371527777778</v>
      </c>
      <c r="W35" s="2">
        <v>313.397</v>
      </c>
      <c r="X35" s="8">
        <f t="shared" si="11"/>
        <v>41.8532318376068</v>
      </c>
      <c r="Y35" s="2">
        <v>52.52</v>
      </c>
      <c r="Z35" s="8">
        <f t="shared" si="12"/>
        <v>7.01388888888889</v>
      </c>
      <c r="AA35" s="8">
        <f t="shared" si="13"/>
        <v>639.052631578947</v>
      </c>
      <c r="AB35" s="8"/>
      <c r="AC35" s="8">
        <f t="shared" si="15"/>
        <v>85.343567251462</v>
      </c>
      <c r="AD35" s="7">
        <f t="shared" si="16"/>
        <v>1.80101071380365</v>
      </c>
      <c r="AE35" s="7">
        <f t="shared" si="17"/>
        <v>1.81053717125859</v>
      </c>
      <c r="AF35" s="7">
        <f t="shared" si="18"/>
        <v>2.03911534436816</v>
      </c>
      <c r="AG35" s="7">
        <f t="shared" si="19"/>
        <v>12.1677957269411</v>
      </c>
      <c r="AH35" s="3"/>
      <c r="AI35" s="8">
        <v>1095.84</v>
      </c>
      <c r="AJ35" s="8">
        <f t="shared" si="39"/>
        <v>63.4166666666667</v>
      </c>
      <c r="AK35" s="8">
        <v>637.948</v>
      </c>
      <c r="AL35" s="8">
        <f t="shared" si="21"/>
        <v>36.918287037037</v>
      </c>
      <c r="AM35" s="8">
        <v>611.67</v>
      </c>
      <c r="AN35" s="8">
        <f t="shared" si="22"/>
        <v>35.3975694444444</v>
      </c>
      <c r="AO35" s="8">
        <v>155.65</v>
      </c>
      <c r="AP35" s="8">
        <f t="shared" si="23"/>
        <v>18.0150462962963</v>
      </c>
      <c r="AQ35" s="8">
        <f t="shared" si="24"/>
        <v>1640.81081081081</v>
      </c>
      <c r="AR35" s="2"/>
      <c r="AS35" s="7">
        <f t="shared" si="25"/>
        <v>1.49730874106695</v>
      </c>
      <c r="AT35" s="7">
        <f t="shared" si="26"/>
        <v>2.57201340988734</v>
      </c>
      <c r="AU35" s="7">
        <f t="shared" si="27"/>
        <v>2.68250986775681</v>
      </c>
      <c r="AV35" s="7">
        <f t="shared" si="28"/>
        <v>10.541669198913</v>
      </c>
      <c r="AX35" s="1"/>
      <c r="AY35" s="8">
        <v>1155.15</v>
      </c>
      <c r="AZ35" s="8">
        <f t="shared" si="29"/>
        <v>56.6316625485351</v>
      </c>
      <c r="BA35" s="8">
        <v>1189.767</v>
      </c>
      <c r="BB35" s="8">
        <f t="shared" si="30"/>
        <v>58.3287739734086</v>
      </c>
      <c r="BC35" s="8">
        <v>316.17</v>
      </c>
      <c r="BD35" s="8">
        <f t="shared" si="31"/>
        <v>15.5003529827039</v>
      </c>
      <c r="BE35" s="8">
        <f t="shared" si="32"/>
        <v>1734.57142857143</v>
      </c>
      <c r="BF35" s="8">
        <f t="shared" si="33"/>
        <v>85.0380156769144</v>
      </c>
      <c r="BG35" s="7">
        <f t="shared" si="34"/>
        <v>1.50159843186723</v>
      </c>
      <c r="BH35" s="7">
        <f t="shared" si="35"/>
        <v>1.45790850525475</v>
      </c>
      <c r="BI35" s="7">
        <f t="shared" si="36"/>
        <v>5.48619865443093</v>
      </c>
    </row>
    <row r="36" ht="20.4" spans="1:6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10"/>
      <c r="O36" s="10"/>
      <c r="P36" s="10"/>
      <c r="Q36" s="10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13"/>
      <c r="AJ36" s="13"/>
      <c r="AK36" s="13"/>
      <c r="AL36" s="13"/>
      <c r="AM36" s="13"/>
      <c r="AN36" s="1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 ht="20.4" spans="1:61">
      <c r="A37" s="2">
        <v>13440</v>
      </c>
      <c r="B37" s="2">
        <v>28288</v>
      </c>
      <c r="C37" s="2">
        <v>1920</v>
      </c>
      <c r="D37" s="2">
        <v>5532</v>
      </c>
      <c r="E37" s="16">
        <v>77.4</v>
      </c>
      <c r="F37" s="2">
        <v>5972</v>
      </c>
      <c r="G37" s="17">
        <v>83.6</v>
      </c>
      <c r="H37" s="5">
        <v>6.1</v>
      </c>
      <c r="I37" s="7">
        <f t="shared" si="0"/>
        <v>1.07953723788865</v>
      </c>
      <c r="J37" s="7">
        <f t="shared" si="1"/>
        <v>1.98535781985637</v>
      </c>
      <c r="K37" s="7">
        <f t="shared" si="2"/>
        <v>1.97106664277975</v>
      </c>
      <c r="L37" s="7">
        <f t="shared" si="3"/>
        <v>2.25201750147935</v>
      </c>
      <c r="M37" s="7">
        <f t="shared" si="4"/>
        <v>21.0813176882563</v>
      </c>
      <c r="N37" s="8">
        <f t="shared" ref="N37:N53" si="40">S37*8.6</f>
        <v>3008.022</v>
      </c>
      <c r="O37" s="8">
        <f t="shared" si="6"/>
        <v>3029.8316</v>
      </c>
      <c r="P37" s="8">
        <f t="shared" si="7"/>
        <v>2651.8444</v>
      </c>
      <c r="Q37" s="8">
        <f t="shared" si="37"/>
        <v>283.284</v>
      </c>
      <c r="R37" s="3"/>
      <c r="S37" s="2">
        <v>349.77</v>
      </c>
      <c r="T37" s="8">
        <f t="shared" si="38"/>
        <v>46.7107371794872</v>
      </c>
      <c r="U37" s="2">
        <v>352.306</v>
      </c>
      <c r="V37" s="8">
        <f t="shared" si="10"/>
        <v>47.0494123931624</v>
      </c>
      <c r="W37" s="2">
        <v>308.354</v>
      </c>
      <c r="X37" s="8">
        <f t="shared" si="11"/>
        <v>41.1797542735043</v>
      </c>
      <c r="Y37" s="2">
        <v>32.94</v>
      </c>
      <c r="Z37" s="8">
        <f t="shared" si="12"/>
        <v>4.39903846153846</v>
      </c>
      <c r="AA37" s="8">
        <f t="shared" si="13"/>
        <v>628.631578947368</v>
      </c>
      <c r="AB37" s="8"/>
      <c r="AC37" s="8">
        <f t="shared" si="15"/>
        <v>83.9518668466037</v>
      </c>
      <c r="AD37" s="7">
        <f t="shared" si="16"/>
        <v>1.79727128955419</v>
      </c>
      <c r="AE37" s="7">
        <f t="shared" si="17"/>
        <v>1.78433401346377</v>
      </c>
      <c r="AF37" s="7">
        <f t="shared" si="18"/>
        <v>2.03866847502341</v>
      </c>
      <c r="AG37" s="7">
        <f t="shared" si="19"/>
        <v>19.0841402230531</v>
      </c>
      <c r="AH37" s="3"/>
      <c r="AI37" s="8">
        <v>1068.58</v>
      </c>
      <c r="AJ37" s="8">
        <f t="shared" si="39"/>
        <v>61.8391203703704</v>
      </c>
      <c r="AK37" s="8">
        <v>647.432</v>
      </c>
      <c r="AL37" s="8">
        <f t="shared" si="21"/>
        <v>37.4671296296296</v>
      </c>
      <c r="AM37" s="8">
        <v>617.501</v>
      </c>
      <c r="AN37" s="8">
        <f t="shared" si="22"/>
        <v>35.7350115740741</v>
      </c>
      <c r="AO37" s="8">
        <v>146.45</v>
      </c>
      <c r="AP37" s="8">
        <f t="shared" si="23"/>
        <v>16.9502314814815</v>
      </c>
      <c r="AQ37" s="8">
        <f t="shared" si="24"/>
        <v>1614.05405405405</v>
      </c>
      <c r="AR37" s="2"/>
      <c r="AS37" s="7">
        <f t="shared" si="25"/>
        <v>1.51046627679168</v>
      </c>
      <c r="AT37" s="7">
        <f t="shared" si="26"/>
        <v>2.49300938794198</v>
      </c>
      <c r="AU37" s="7">
        <f t="shared" si="27"/>
        <v>2.61384848616286</v>
      </c>
      <c r="AV37" s="7">
        <f t="shared" si="28"/>
        <v>11.0211953161765</v>
      </c>
      <c r="AX37" s="1" t="s">
        <v>25</v>
      </c>
      <c r="AY37" s="8">
        <v>1131.38</v>
      </c>
      <c r="AZ37" s="8">
        <f t="shared" si="29"/>
        <v>55.466329372083</v>
      </c>
      <c r="BA37" s="8">
        <v>1185.782</v>
      </c>
      <c r="BB37" s="8">
        <f t="shared" si="30"/>
        <v>58.1334078519041</v>
      </c>
      <c r="BC37" s="8">
        <v>345.55</v>
      </c>
      <c r="BD37" s="8">
        <f t="shared" si="31"/>
        <v>16.9407185159038</v>
      </c>
      <c r="BE37" s="8">
        <f t="shared" si="32"/>
        <v>1706.28571428571</v>
      </c>
      <c r="BF37" s="8">
        <f t="shared" si="33"/>
        <v>83.6512979117991</v>
      </c>
      <c r="BG37" s="7">
        <f t="shared" si="34"/>
        <v>1.50814555170298</v>
      </c>
      <c r="BH37" s="7">
        <f t="shared" si="35"/>
        <v>1.43895396817097</v>
      </c>
      <c r="BI37" s="7">
        <f t="shared" si="36"/>
        <v>4.93788370506646</v>
      </c>
    </row>
    <row r="38" ht="20.4" spans="1:61">
      <c r="A38" s="2">
        <v>13440</v>
      </c>
      <c r="B38" s="2">
        <v>25216</v>
      </c>
      <c r="C38" s="2">
        <v>1920</v>
      </c>
      <c r="D38" s="2">
        <v>5520</v>
      </c>
      <c r="E38" s="16">
        <v>77.2</v>
      </c>
      <c r="F38" s="2">
        <v>5964</v>
      </c>
      <c r="G38" s="17">
        <v>83.5</v>
      </c>
      <c r="H38" s="5">
        <v>6.2</v>
      </c>
      <c r="I38" s="7">
        <f t="shared" si="0"/>
        <v>1.0804347826087</v>
      </c>
      <c r="J38" s="7">
        <f t="shared" si="1"/>
        <v>1.96266590845368</v>
      </c>
      <c r="K38" s="7">
        <f t="shared" si="2"/>
        <v>1.96573685072345</v>
      </c>
      <c r="L38" s="7">
        <f t="shared" si="3"/>
        <v>2.25324629546134</v>
      </c>
      <c r="M38" s="7">
        <f t="shared" si="4"/>
        <v>20.499212890719</v>
      </c>
      <c r="N38" s="8">
        <f t="shared" si="40"/>
        <v>3038.724</v>
      </c>
      <c r="O38" s="8">
        <f t="shared" si="6"/>
        <v>3033.9768</v>
      </c>
      <c r="P38" s="8">
        <f t="shared" si="7"/>
        <v>2646.8478</v>
      </c>
      <c r="Q38" s="8">
        <f t="shared" si="37"/>
        <v>290.938</v>
      </c>
      <c r="R38" s="3"/>
      <c r="S38" s="2">
        <v>353.34</v>
      </c>
      <c r="T38" s="8">
        <f t="shared" si="38"/>
        <v>47.1875</v>
      </c>
      <c r="U38" s="2">
        <v>352.788</v>
      </c>
      <c r="V38" s="8">
        <f t="shared" si="10"/>
        <v>47.1137820512821</v>
      </c>
      <c r="W38" s="2">
        <v>307.773</v>
      </c>
      <c r="X38" s="8">
        <f t="shared" si="11"/>
        <v>41.1021634615385</v>
      </c>
      <c r="Y38" s="2">
        <v>33.83</v>
      </c>
      <c r="Z38" s="8">
        <f t="shared" si="12"/>
        <v>4.5178952991453</v>
      </c>
      <c r="AA38" s="8">
        <f t="shared" si="13"/>
        <v>627.789473684211</v>
      </c>
      <c r="AB38" s="8"/>
      <c r="AC38" s="8">
        <f t="shared" si="15"/>
        <v>83.8394062078273</v>
      </c>
      <c r="AD38" s="7">
        <f t="shared" si="16"/>
        <v>1.77672913817912</v>
      </c>
      <c r="AE38" s="7">
        <f t="shared" si="17"/>
        <v>1.77950914907596</v>
      </c>
      <c r="AF38" s="7">
        <f t="shared" si="18"/>
        <v>2.03978085694395</v>
      </c>
      <c r="AG38" s="7">
        <f t="shared" si="19"/>
        <v>18.5571821958088</v>
      </c>
      <c r="AH38" s="3"/>
      <c r="AI38" s="8">
        <v>1071.42</v>
      </c>
      <c r="AJ38" s="8">
        <f t="shared" si="39"/>
        <v>62.0034722222222</v>
      </c>
      <c r="AK38" s="8">
        <v>648.968</v>
      </c>
      <c r="AL38" s="8">
        <f t="shared" si="21"/>
        <v>37.5560185185185</v>
      </c>
      <c r="AM38" s="8">
        <v>606.566</v>
      </c>
      <c r="AN38" s="8">
        <f t="shared" si="22"/>
        <v>35.1021990740741</v>
      </c>
      <c r="AO38" s="8">
        <v>137.85</v>
      </c>
      <c r="AP38" s="8">
        <f t="shared" si="23"/>
        <v>15.9548611111111</v>
      </c>
      <c r="AQ38" s="8">
        <f t="shared" si="24"/>
        <v>1611.89189189189</v>
      </c>
      <c r="AR38" s="2"/>
      <c r="AS38" s="7">
        <f t="shared" si="25"/>
        <v>1.50444446798818</v>
      </c>
      <c r="AT38" s="7">
        <f t="shared" si="26"/>
        <v>2.48377715371465</v>
      </c>
      <c r="AU38" s="7">
        <f t="shared" si="27"/>
        <v>2.65740561108254</v>
      </c>
      <c r="AV38" s="7">
        <f t="shared" si="28"/>
        <v>11.6930859041849</v>
      </c>
      <c r="AX38" s="1"/>
      <c r="AY38" s="8">
        <v>1131.6</v>
      </c>
      <c r="AZ38" s="8">
        <f t="shared" si="29"/>
        <v>55.4771149547005</v>
      </c>
      <c r="BA38" s="8">
        <v>1169.351</v>
      </c>
      <c r="BB38" s="8">
        <f t="shared" si="30"/>
        <v>57.3278719064988</v>
      </c>
      <c r="BC38" s="8">
        <v>347.63</v>
      </c>
      <c r="BD38" s="8">
        <f t="shared" si="31"/>
        <v>17.0426912970153</v>
      </c>
      <c r="BE38" s="8">
        <f t="shared" si="32"/>
        <v>1704</v>
      </c>
      <c r="BF38" s="8">
        <f t="shared" si="33"/>
        <v>83.5392399105777</v>
      </c>
      <c r="BG38" s="7">
        <f t="shared" si="34"/>
        <v>1.50583244962884</v>
      </c>
      <c r="BH38" s="7">
        <f t="shared" si="35"/>
        <v>1.45721857680029</v>
      </c>
      <c r="BI38" s="7">
        <f t="shared" si="36"/>
        <v>4.90176336909933</v>
      </c>
    </row>
    <row r="39" ht="20.4" spans="1:61">
      <c r="A39" s="2">
        <v>13440</v>
      </c>
      <c r="B39" s="2">
        <v>22144</v>
      </c>
      <c r="C39" s="2">
        <v>1920</v>
      </c>
      <c r="D39" s="2">
        <v>5420</v>
      </c>
      <c r="E39" s="16">
        <v>75.8</v>
      </c>
      <c r="F39" s="2">
        <v>5954</v>
      </c>
      <c r="G39" s="17">
        <v>83.3</v>
      </c>
      <c r="H39" s="5">
        <v>7.5</v>
      </c>
      <c r="I39" s="7">
        <f t="shared" si="0"/>
        <v>1.09852398523985</v>
      </c>
      <c r="J39" s="7">
        <f t="shared" si="1"/>
        <v>1.9690716194407</v>
      </c>
      <c r="K39" s="7">
        <f t="shared" si="2"/>
        <v>1.95982432548173</v>
      </c>
      <c r="L39" s="7">
        <f t="shared" si="3"/>
        <v>2.17431427116321</v>
      </c>
      <c r="M39" s="7">
        <f t="shared" si="4"/>
        <v>20.1726568005638</v>
      </c>
      <c r="N39" s="8">
        <f t="shared" si="40"/>
        <v>3023.76</v>
      </c>
      <c r="O39" s="8">
        <f t="shared" si="6"/>
        <v>3038.0274</v>
      </c>
      <c r="P39" s="8">
        <f t="shared" si="7"/>
        <v>2738.3346</v>
      </c>
      <c r="Q39" s="8">
        <f t="shared" si="37"/>
        <v>295.152</v>
      </c>
      <c r="R39" s="3"/>
      <c r="S39" s="2">
        <v>351.6</v>
      </c>
      <c r="T39" s="8">
        <f t="shared" si="38"/>
        <v>46.9551282051282</v>
      </c>
      <c r="U39" s="2">
        <v>353.259</v>
      </c>
      <c r="V39" s="8">
        <f t="shared" si="10"/>
        <v>47.1766826923077</v>
      </c>
      <c r="W39" s="2">
        <v>318.411</v>
      </c>
      <c r="X39" s="8">
        <f t="shared" si="11"/>
        <v>42.5228365384615</v>
      </c>
      <c r="Y39" s="2">
        <v>34.32</v>
      </c>
      <c r="Z39" s="8">
        <f t="shared" si="12"/>
        <v>4.58333333333333</v>
      </c>
      <c r="AA39" s="8">
        <f t="shared" si="13"/>
        <v>626.736842105263</v>
      </c>
      <c r="AB39" s="8"/>
      <c r="AC39" s="8">
        <f t="shared" si="15"/>
        <v>83.6988304093567</v>
      </c>
      <c r="AD39" s="7">
        <f t="shared" si="16"/>
        <v>1.78252799233579</v>
      </c>
      <c r="AE39" s="7">
        <f t="shared" si="17"/>
        <v>1.77415675780451</v>
      </c>
      <c r="AF39" s="7">
        <f t="shared" si="18"/>
        <v>1.9683266033688</v>
      </c>
      <c r="AG39" s="7">
        <f t="shared" si="19"/>
        <v>18.2615629984051</v>
      </c>
      <c r="AH39" s="3"/>
      <c r="AI39" s="8">
        <v>1070.42</v>
      </c>
      <c r="AJ39" s="8">
        <f t="shared" si="39"/>
        <v>61.9456018518519</v>
      </c>
      <c r="AK39" s="8">
        <v>645.538</v>
      </c>
      <c r="AL39" s="8">
        <f t="shared" si="21"/>
        <v>37.3575231481481</v>
      </c>
      <c r="AM39" s="8">
        <v>609.919</v>
      </c>
      <c r="AN39" s="8">
        <f t="shared" si="22"/>
        <v>35.2962384259259</v>
      </c>
      <c r="AO39" s="8">
        <v>135.11</v>
      </c>
      <c r="AP39" s="8">
        <f t="shared" si="23"/>
        <v>15.6377314814815</v>
      </c>
      <c r="AQ39" s="8">
        <f t="shared" si="24"/>
        <v>1609.18918918919</v>
      </c>
      <c r="AR39" s="2"/>
      <c r="AS39" s="7">
        <f t="shared" si="25"/>
        <v>1.50332503988078</v>
      </c>
      <c r="AT39" s="7">
        <f t="shared" si="26"/>
        <v>2.49278770450258</v>
      </c>
      <c r="AU39" s="7">
        <f t="shared" si="27"/>
        <v>2.63836540456879</v>
      </c>
      <c r="AV39" s="7">
        <f t="shared" si="28"/>
        <v>11.9102153000458</v>
      </c>
      <c r="AX39" s="1"/>
      <c r="AY39" s="8">
        <v>1131.33</v>
      </c>
      <c r="AZ39" s="8">
        <f t="shared" si="29"/>
        <v>55.4638781033063</v>
      </c>
      <c r="BA39" s="8">
        <v>1180.442</v>
      </c>
      <c r="BB39" s="8">
        <f t="shared" si="30"/>
        <v>57.8716123465506</v>
      </c>
      <c r="BC39" s="8">
        <v>353.28</v>
      </c>
      <c r="BD39" s="8">
        <f t="shared" si="31"/>
        <v>17.3196846687846</v>
      </c>
      <c r="BE39" s="8">
        <f t="shared" si="32"/>
        <v>1701.14285714286</v>
      </c>
      <c r="BF39" s="8">
        <f t="shared" si="33"/>
        <v>83.3991674090509</v>
      </c>
      <c r="BG39" s="7">
        <f t="shared" si="34"/>
        <v>1.50366635477081</v>
      </c>
      <c r="BH39" s="7">
        <f t="shared" si="35"/>
        <v>1.44110668473577</v>
      </c>
      <c r="BI39" s="7">
        <f t="shared" si="36"/>
        <v>4.81528209109731</v>
      </c>
    </row>
    <row r="40" ht="20.4" spans="1:61">
      <c r="A40" s="2">
        <v>13440</v>
      </c>
      <c r="B40" s="2">
        <v>17152</v>
      </c>
      <c r="C40" s="2">
        <v>1920</v>
      </c>
      <c r="D40" s="2">
        <v>5434</v>
      </c>
      <c r="E40" s="16">
        <v>76</v>
      </c>
      <c r="F40" s="2">
        <v>5885</v>
      </c>
      <c r="G40" s="17">
        <v>82.3</v>
      </c>
      <c r="H40" s="5">
        <v>6.3</v>
      </c>
      <c r="I40" s="7">
        <f t="shared" si="0"/>
        <v>1.082995951417</v>
      </c>
      <c r="J40" s="7">
        <f t="shared" si="1"/>
        <v>1.9501904459557</v>
      </c>
      <c r="K40" s="7">
        <f t="shared" si="2"/>
        <v>1.94114552324344</v>
      </c>
      <c r="L40" s="7">
        <f t="shared" si="3"/>
        <v>2.22078019310108</v>
      </c>
      <c r="M40" s="7">
        <f t="shared" si="4"/>
        <v>23.7275424958875</v>
      </c>
      <c r="N40" s="8">
        <f t="shared" si="40"/>
        <v>3017.654</v>
      </c>
      <c r="O40" s="8">
        <f t="shared" si="6"/>
        <v>3031.715</v>
      </c>
      <c r="P40" s="8">
        <f t="shared" si="7"/>
        <v>2649.9696</v>
      </c>
      <c r="Q40" s="8">
        <f t="shared" si="37"/>
        <v>248.024</v>
      </c>
      <c r="R40" s="3"/>
      <c r="S40" s="2">
        <v>350.89</v>
      </c>
      <c r="T40" s="8">
        <f t="shared" si="38"/>
        <v>46.8603098290598</v>
      </c>
      <c r="U40" s="2">
        <v>352.525</v>
      </c>
      <c r="V40" s="8">
        <f t="shared" si="10"/>
        <v>47.0786591880342</v>
      </c>
      <c r="W40" s="2">
        <v>308.136</v>
      </c>
      <c r="X40" s="8">
        <f t="shared" si="11"/>
        <v>41.150641025641</v>
      </c>
      <c r="Y40" s="2">
        <v>28.84</v>
      </c>
      <c r="Z40" s="8">
        <f t="shared" si="12"/>
        <v>3.85149572649573</v>
      </c>
      <c r="AA40" s="8">
        <f t="shared" si="13"/>
        <v>619.473684210526</v>
      </c>
      <c r="AB40" s="8"/>
      <c r="AC40" s="8">
        <f t="shared" si="15"/>
        <v>82.72885739991</v>
      </c>
      <c r="AD40" s="7">
        <f t="shared" si="16"/>
        <v>1.765435561602</v>
      </c>
      <c r="AE40" s="7">
        <f t="shared" si="17"/>
        <v>1.75724752630459</v>
      </c>
      <c r="AF40" s="7">
        <f t="shared" si="18"/>
        <v>2.01039049059677</v>
      </c>
      <c r="AG40" s="7">
        <f t="shared" si="19"/>
        <v>21.4796700489087</v>
      </c>
      <c r="AH40" s="3"/>
      <c r="AI40" s="8">
        <v>1057.8</v>
      </c>
      <c r="AJ40" s="8">
        <f t="shared" si="39"/>
        <v>61.2152777777778</v>
      </c>
      <c r="AK40" s="8">
        <v>647.195</v>
      </c>
      <c r="AL40" s="8">
        <f t="shared" si="21"/>
        <v>37.4534143518519</v>
      </c>
      <c r="AM40" s="8">
        <v>614.079</v>
      </c>
      <c r="AN40" s="8">
        <f t="shared" si="22"/>
        <v>35.5369791666667</v>
      </c>
      <c r="AO40" s="8">
        <v>148.46</v>
      </c>
      <c r="AP40" s="8">
        <f t="shared" si="23"/>
        <v>17.1828703703704</v>
      </c>
      <c r="AQ40" s="8">
        <f t="shared" si="24"/>
        <v>1590.54054054054</v>
      </c>
      <c r="AR40" s="2"/>
      <c r="AS40" s="7">
        <f t="shared" si="25"/>
        <v>1.50363068684112</v>
      </c>
      <c r="AT40" s="7">
        <f t="shared" si="26"/>
        <v>2.45759089693298</v>
      </c>
      <c r="AU40" s="7">
        <f t="shared" si="27"/>
        <v>2.59012364946618</v>
      </c>
      <c r="AV40" s="7">
        <f t="shared" si="28"/>
        <v>10.7135965279573</v>
      </c>
      <c r="AX40" s="1"/>
      <c r="AY40" s="8">
        <v>1125.03</v>
      </c>
      <c r="AZ40" s="8">
        <f t="shared" si="29"/>
        <v>55.1550182374397</v>
      </c>
      <c r="BA40" s="8">
        <v>1170.165</v>
      </c>
      <c r="BB40" s="8">
        <f t="shared" si="30"/>
        <v>57.3677785621838</v>
      </c>
      <c r="BC40" s="8">
        <v>353.76</v>
      </c>
      <c r="BD40" s="8">
        <f t="shared" si="31"/>
        <v>17.3432168490411</v>
      </c>
      <c r="BE40" s="8">
        <f t="shared" si="32"/>
        <v>1681.42857142857</v>
      </c>
      <c r="BF40" s="8">
        <f t="shared" si="33"/>
        <v>82.4326671485161</v>
      </c>
      <c r="BG40" s="7">
        <f t="shared" si="34"/>
        <v>1.49456331958132</v>
      </c>
      <c r="BH40" s="7">
        <f t="shared" si="35"/>
        <v>1.43691579514733</v>
      </c>
      <c r="BI40" s="7">
        <f t="shared" si="36"/>
        <v>4.75302061122957</v>
      </c>
    </row>
    <row r="41" ht="20.4" spans="1:61">
      <c r="A41" s="2">
        <v>13440</v>
      </c>
      <c r="B41" s="2">
        <v>14080</v>
      </c>
      <c r="C41" s="2">
        <v>1920</v>
      </c>
      <c r="D41" s="2">
        <v>5188</v>
      </c>
      <c r="E41" s="16">
        <v>72.6</v>
      </c>
      <c r="F41" s="2">
        <v>5824</v>
      </c>
      <c r="G41" s="17">
        <v>81.5</v>
      </c>
      <c r="H41" s="5">
        <v>8.9</v>
      </c>
      <c r="I41" s="7">
        <f t="shared" si="0"/>
        <v>1.12259059367772</v>
      </c>
      <c r="J41" s="7">
        <f t="shared" si="1"/>
        <v>1.93041618632759</v>
      </c>
      <c r="K41" s="7">
        <f t="shared" si="2"/>
        <v>1.9226774657051</v>
      </c>
      <c r="L41" s="7">
        <f t="shared" si="3"/>
        <v>2.13348697565546</v>
      </c>
      <c r="M41" s="7">
        <f t="shared" si="4"/>
        <v>22.3944875107666</v>
      </c>
      <c r="N41" s="8">
        <f t="shared" si="40"/>
        <v>3016.966</v>
      </c>
      <c r="O41" s="8">
        <f t="shared" si="6"/>
        <v>3029.1092</v>
      </c>
      <c r="P41" s="8">
        <f t="shared" si="7"/>
        <v>2729.8034</v>
      </c>
      <c r="Q41" s="8">
        <f t="shared" si="37"/>
        <v>260.064</v>
      </c>
      <c r="R41" s="3"/>
      <c r="S41" s="2">
        <v>350.81</v>
      </c>
      <c r="T41" s="8">
        <f t="shared" si="38"/>
        <v>46.8496260683761</v>
      </c>
      <c r="U41" s="2">
        <v>352.222</v>
      </c>
      <c r="V41" s="8">
        <f t="shared" si="10"/>
        <v>47.0381944444444</v>
      </c>
      <c r="W41" s="2">
        <v>317.419</v>
      </c>
      <c r="X41" s="8">
        <f t="shared" si="11"/>
        <v>42.3903579059829</v>
      </c>
      <c r="Y41" s="2">
        <v>30.24</v>
      </c>
      <c r="Z41" s="8">
        <f t="shared" si="12"/>
        <v>4.03846153846154</v>
      </c>
      <c r="AA41" s="8">
        <f t="shared" si="13"/>
        <v>613.052631578947</v>
      </c>
      <c r="AB41" s="8"/>
      <c r="AC41" s="8">
        <f t="shared" si="15"/>
        <v>81.8713450292398</v>
      </c>
      <c r="AD41" s="7">
        <f t="shared" si="16"/>
        <v>1.74753465288603</v>
      </c>
      <c r="AE41" s="7">
        <f t="shared" si="17"/>
        <v>1.74052907421725</v>
      </c>
      <c r="AF41" s="7">
        <f t="shared" si="18"/>
        <v>1.93136715690916</v>
      </c>
      <c r="AG41" s="7">
        <f t="shared" si="19"/>
        <v>20.2729044834308</v>
      </c>
      <c r="AH41" s="3"/>
      <c r="AI41" s="8">
        <v>1016.86</v>
      </c>
      <c r="AJ41" s="8">
        <f t="shared" si="39"/>
        <v>58.8460648148148</v>
      </c>
      <c r="AK41" s="8">
        <v>652.24</v>
      </c>
      <c r="AL41" s="8">
        <f t="shared" si="21"/>
        <v>37.7453703703704</v>
      </c>
      <c r="AM41" s="8">
        <v>615.987</v>
      </c>
      <c r="AN41" s="8">
        <f t="shared" si="22"/>
        <v>35.6473958333333</v>
      </c>
      <c r="AO41" s="8">
        <v>144.84</v>
      </c>
      <c r="AP41" s="8">
        <f t="shared" si="23"/>
        <v>16.7638888888889</v>
      </c>
      <c r="AQ41" s="8">
        <f t="shared" si="24"/>
        <v>1574.05405405405</v>
      </c>
      <c r="AR41" s="2"/>
      <c r="AS41" s="7">
        <f t="shared" si="25"/>
        <v>1.54795552392075</v>
      </c>
      <c r="AT41" s="7">
        <f t="shared" si="26"/>
        <v>2.41330500130942</v>
      </c>
      <c r="AU41" s="7">
        <f t="shared" si="27"/>
        <v>2.5553364828382</v>
      </c>
      <c r="AV41" s="7">
        <f t="shared" si="28"/>
        <v>10.8675369653</v>
      </c>
      <c r="AX41" s="1"/>
      <c r="AY41" s="8">
        <v>1125.41</v>
      </c>
      <c r="AZ41" s="8">
        <f t="shared" si="29"/>
        <v>55.1736478801428</v>
      </c>
      <c r="BA41" s="8">
        <v>1159.36</v>
      </c>
      <c r="BB41" s="8">
        <f t="shared" si="30"/>
        <v>56.8380593795348</v>
      </c>
      <c r="BC41" s="8">
        <v>351.43</v>
      </c>
      <c r="BD41" s="8">
        <f t="shared" si="31"/>
        <v>17.228987724046</v>
      </c>
      <c r="BE41" s="8">
        <f t="shared" si="32"/>
        <v>1664</v>
      </c>
      <c r="BF41" s="8">
        <f t="shared" si="33"/>
        <v>81.5782248892027</v>
      </c>
      <c r="BG41" s="7">
        <f t="shared" si="34"/>
        <v>1.47857225366755</v>
      </c>
      <c r="BH41" s="7">
        <f t="shared" si="35"/>
        <v>1.43527463428098</v>
      </c>
      <c r="BI41" s="7">
        <f t="shared" si="36"/>
        <v>4.7349401018695</v>
      </c>
    </row>
    <row r="42" ht="20.4" spans="1:61">
      <c r="A42" s="2">
        <v>13056</v>
      </c>
      <c r="B42" s="2">
        <v>14080</v>
      </c>
      <c r="C42" s="2">
        <v>1920</v>
      </c>
      <c r="D42" s="2">
        <v>5045</v>
      </c>
      <c r="E42" s="16">
        <v>70.6</v>
      </c>
      <c r="F42" s="2">
        <v>5597</v>
      </c>
      <c r="G42" s="17">
        <v>78.3</v>
      </c>
      <c r="H42" s="5">
        <v>7.7</v>
      </c>
      <c r="I42" s="7">
        <f t="shared" si="0"/>
        <v>1.10941526263627</v>
      </c>
      <c r="J42" s="7">
        <f t="shared" si="1"/>
        <v>1.85586276231428</v>
      </c>
      <c r="K42" s="7">
        <f t="shared" si="2"/>
        <v>1.84790058090176</v>
      </c>
      <c r="L42" s="7">
        <f t="shared" si="3"/>
        <v>2.09069984094694</v>
      </c>
      <c r="M42" s="7">
        <f t="shared" si="4"/>
        <v>20.2998737831682</v>
      </c>
      <c r="N42" s="8">
        <f t="shared" si="40"/>
        <v>3015.848</v>
      </c>
      <c r="O42" s="8">
        <f t="shared" si="6"/>
        <v>3028.8426</v>
      </c>
      <c r="P42" s="8">
        <f t="shared" si="7"/>
        <v>2677.094</v>
      </c>
      <c r="Q42" s="8">
        <f t="shared" si="37"/>
        <v>275.716</v>
      </c>
      <c r="R42" s="3"/>
      <c r="S42" s="2">
        <v>350.68</v>
      </c>
      <c r="T42" s="8">
        <f t="shared" si="38"/>
        <v>46.832264957265</v>
      </c>
      <c r="U42" s="2">
        <v>352.191</v>
      </c>
      <c r="V42" s="8">
        <f t="shared" si="10"/>
        <v>47.0340544871795</v>
      </c>
      <c r="W42" s="2">
        <v>311.29</v>
      </c>
      <c r="X42" s="8">
        <f t="shared" si="11"/>
        <v>41.5718482905983</v>
      </c>
      <c r="Y42" s="2">
        <v>32.06</v>
      </c>
      <c r="Z42" s="8">
        <f t="shared" si="12"/>
        <v>4.28151709401709</v>
      </c>
      <c r="AA42" s="8">
        <f t="shared" si="13"/>
        <v>589.157894736842</v>
      </c>
      <c r="AB42" s="8"/>
      <c r="AC42" s="8">
        <f t="shared" si="15"/>
        <v>78.6802744039586</v>
      </c>
      <c r="AD42" s="7">
        <f t="shared" si="16"/>
        <v>1.68004418483188</v>
      </c>
      <c r="AE42" s="7">
        <f t="shared" si="17"/>
        <v>1.67283631534265</v>
      </c>
      <c r="AF42" s="7">
        <f t="shared" si="18"/>
        <v>1.89263354022565</v>
      </c>
      <c r="AG42" s="7">
        <f t="shared" si="19"/>
        <v>18.3767278458154</v>
      </c>
      <c r="AH42" s="3"/>
      <c r="AI42" s="8">
        <v>1062.7</v>
      </c>
      <c r="AJ42" s="8">
        <f t="shared" si="39"/>
        <v>61.4988425925926</v>
      </c>
      <c r="AK42" s="8">
        <v>649.694</v>
      </c>
      <c r="AL42" s="8">
        <f t="shared" si="21"/>
        <v>37.5980324074074</v>
      </c>
      <c r="AM42" s="8">
        <v>612.133</v>
      </c>
      <c r="AN42" s="8">
        <f t="shared" si="22"/>
        <v>35.4243634259259</v>
      </c>
      <c r="AO42" s="8">
        <v>111.38</v>
      </c>
      <c r="AP42" s="8">
        <f t="shared" si="23"/>
        <v>12.8912037037037</v>
      </c>
      <c r="AQ42" s="8">
        <f t="shared" si="24"/>
        <v>1512.7027027027</v>
      </c>
      <c r="AR42" s="2"/>
      <c r="AS42" s="7">
        <f t="shared" si="25"/>
        <v>1.42345224682667</v>
      </c>
      <c r="AT42" s="7">
        <f t="shared" si="26"/>
        <v>2.32833103384471</v>
      </c>
      <c r="AU42" s="7">
        <f t="shared" si="27"/>
        <v>2.47119940062487</v>
      </c>
      <c r="AV42" s="7">
        <f t="shared" si="28"/>
        <v>13.5814571979054</v>
      </c>
      <c r="AX42" s="1"/>
      <c r="AY42" s="8">
        <v>1114.79</v>
      </c>
      <c r="AZ42" s="8">
        <f t="shared" si="29"/>
        <v>54.6529983919677</v>
      </c>
      <c r="BA42" s="8">
        <v>1159.423</v>
      </c>
      <c r="BB42" s="8">
        <f t="shared" si="30"/>
        <v>56.8411479781935</v>
      </c>
      <c r="BC42" s="8">
        <v>336.5</v>
      </c>
      <c r="BD42" s="8">
        <f t="shared" si="31"/>
        <v>16.4970388673177</v>
      </c>
      <c r="BE42" s="8">
        <f t="shared" si="32"/>
        <v>1599.14285714286</v>
      </c>
      <c r="BF42" s="8">
        <f t="shared" si="33"/>
        <v>78.3985791045445</v>
      </c>
      <c r="BG42" s="7">
        <f t="shared" si="34"/>
        <v>1.43447901142175</v>
      </c>
      <c r="BH42" s="7">
        <f t="shared" si="35"/>
        <v>1.37925749027133</v>
      </c>
      <c r="BI42" s="7">
        <f t="shared" si="36"/>
        <v>4.75228189344088</v>
      </c>
    </row>
    <row r="43" ht="20.4" spans="1:61">
      <c r="A43" s="2">
        <v>13056</v>
      </c>
      <c r="B43" s="2">
        <v>17152</v>
      </c>
      <c r="C43" s="2">
        <v>1920</v>
      </c>
      <c r="D43" s="2">
        <v>5232</v>
      </c>
      <c r="E43" s="16">
        <v>73.2</v>
      </c>
      <c r="F43" s="2">
        <v>5706</v>
      </c>
      <c r="G43" s="17">
        <v>79.8</v>
      </c>
      <c r="H43" s="5">
        <v>6.6</v>
      </c>
      <c r="I43" s="7">
        <f t="shared" si="0"/>
        <v>1.09059633027523</v>
      </c>
      <c r="J43" s="7">
        <f t="shared" si="1"/>
        <v>1.88614257069399</v>
      </c>
      <c r="K43" s="7">
        <f t="shared" si="2"/>
        <v>1.87934153089857</v>
      </c>
      <c r="L43" s="7">
        <f t="shared" si="3"/>
        <v>2.12308805799803</v>
      </c>
      <c r="M43" s="7">
        <f t="shared" si="4"/>
        <v>24.5645454310634</v>
      </c>
      <c r="N43" s="8">
        <f t="shared" si="40"/>
        <v>3025.222</v>
      </c>
      <c r="O43" s="8">
        <f t="shared" si="6"/>
        <v>3036.1698</v>
      </c>
      <c r="P43" s="8">
        <f t="shared" si="7"/>
        <v>2687.5946</v>
      </c>
      <c r="Q43" s="8">
        <f t="shared" si="37"/>
        <v>232.286</v>
      </c>
      <c r="R43" s="3"/>
      <c r="S43" s="2">
        <v>351.77</v>
      </c>
      <c r="T43" s="8">
        <f t="shared" si="38"/>
        <v>46.9778311965812</v>
      </c>
      <c r="U43" s="2">
        <v>353.043</v>
      </c>
      <c r="V43" s="8">
        <f t="shared" si="10"/>
        <v>47.1478365384615</v>
      </c>
      <c r="W43" s="2">
        <v>312.511</v>
      </c>
      <c r="X43" s="8">
        <f t="shared" si="11"/>
        <v>41.7349091880342</v>
      </c>
      <c r="Y43" s="2">
        <v>27.01</v>
      </c>
      <c r="Z43" s="8">
        <f t="shared" si="12"/>
        <v>3.6071047008547</v>
      </c>
      <c r="AA43" s="8">
        <f t="shared" si="13"/>
        <v>600.631578947368</v>
      </c>
      <c r="AB43" s="8"/>
      <c r="AC43" s="8">
        <f t="shared" si="15"/>
        <v>80.2125506072875</v>
      </c>
      <c r="AD43" s="7">
        <f t="shared" si="16"/>
        <v>1.70745537978613</v>
      </c>
      <c r="AE43" s="7">
        <f t="shared" si="17"/>
        <v>1.70129864902397</v>
      </c>
      <c r="AF43" s="7">
        <f t="shared" si="18"/>
        <v>1.9219533998719</v>
      </c>
      <c r="AG43" s="7">
        <f t="shared" si="19"/>
        <v>22.2373779691732</v>
      </c>
      <c r="AH43" s="3"/>
      <c r="AI43" s="8">
        <v>1088.19</v>
      </c>
      <c r="AJ43" s="8">
        <f t="shared" si="39"/>
        <v>62.9739583333333</v>
      </c>
      <c r="AK43" s="8">
        <v>646.701</v>
      </c>
      <c r="AL43" s="8">
        <f t="shared" si="21"/>
        <v>37.4248263888889</v>
      </c>
      <c r="AM43" s="8">
        <v>618.832</v>
      </c>
      <c r="AN43" s="8">
        <f t="shared" si="22"/>
        <v>35.812037037037</v>
      </c>
      <c r="AO43" s="8">
        <v>114.33</v>
      </c>
      <c r="AP43" s="8">
        <f t="shared" si="23"/>
        <v>13.2326388888889</v>
      </c>
      <c r="AQ43" s="8">
        <f t="shared" si="24"/>
        <v>1542.16216216216</v>
      </c>
      <c r="AR43" s="2"/>
      <c r="AS43" s="7">
        <f t="shared" si="25"/>
        <v>1.41718097222191</v>
      </c>
      <c r="AT43" s="7">
        <f t="shared" si="26"/>
        <v>2.38466024045449</v>
      </c>
      <c r="AU43" s="7">
        <f t="shared" si="27"/>
        <v>2.49205303242586</v>
      </c>
      <c r="AV43" s="7">
        <f t="shared" si="28"/>
        <v>13.4886920507493</v>
      </c>
      <c r="AX43" s="1"/>
      <c r="AY43" s="8">
        <v>1120.6</v>
      </c>
      <c r="AZ43" s="8">
        <f t="shared" si="29"/>
        <v>54.9378358238224</v>
      </c>
      <c r="BA43" s="8">
        <v>1167.598</v>
      </c>
      <c r="BB43" s="8">
        <f t="shared" si="30"/>
        <v>57.241930423187</v>
      </c>
      <c r="BC43" s="8">
        <v>337.41</v>
      </c>
      <c r="BD43" s="8">
        <f t="shared" si="31"/>
        <v>16.541651959054</v>
      </c>
      <c r="BE43" s="8">
        <f t="shared" si="32"/>
        <v>1630.28571428571</v>
      </c>
      <c r="BF43" s="8">
        <f t="shared" si="33"/>
        <v>79.9253693711865</v>
      </c>
      <c r="BG43" s="7">
        <f t="shared" si="34"/>
        <v>1.4548328701461</v>
      </c>
      <c r="BH43" s="7">
        <f t="shared" si="35"/>
        <v>1.39627313020895</v>
      </c>
      <c r="BI43" s="7">
        <f t="shared" si="36"/>
        <v>4.83176466105247</v>
      </c>
    </row>
    <row r="44" ht="20.4" spans="1:61">
      <c r="A44" s="2">
        <v>13056</v>
      </c>
      <c r="B44" s="2">
        <v>28288</v>
      </c>
      <c r="C44" s="2">
        <v>1920</v>
      </c>
      <c r="D44" s="2">
        <v>5380</v>
      </c>
      <c r="E44" s="16">
        <v>75.3</v>
      </c>
      <c r="F44" s="2">
        <v>5832</v>
      </c>
      <c r="G44" s="17">
        <v>81.6</v>
      </c>
      <c r="H44" s="5">
        <v>6.3</v>
      </c>
      <c r="I44" s="7">
        <f t="shared" si="0"/>
        <v>1.08401486988848</v>
      </c>
      <c r="J44" s="7">
        <f t="shared" si="1"/>
        <v>1.93323318000947</v>
      </c>
      <c r="K44" s="7">
        <f t="shared" si="2"/>
        <v>1.92907015444668</v>
      </c>
      <c r="L44" s="7">
        <f t="shared" si="3"/>
        <v>2.17174220794387</v>
      </c>
      <c r="M44" s="7">
        <f t="shared" si="4"/>
        <v>24.1933476590696</v>
      </c>
      <c r="N44" s="8">
        <f t="shared" si="40"/>
        <v>3016.708</v>
      </c>
      <c r="O44" s="8">
        <f t="shared" si="6"/>
        <v>3023.2182</v>
      </c>
      <c r="P44" s="8">
        <f t="shared" si="7"/>
        <v>2685.4016</v>
      </c>
      <c r="Q44" s="8">
        <f t="shared" si="37"/>
        <v>241.058</v>
      </c>
      <c r="R44" s="3"/>
      <c r="S44" s="2">
        <v>350.78</v>
      </c>
      <c r="T44" s="8">
        <f t="shared" si="38"/>
        <v>46.8456196581197</v>
      </c>
      <c r="U44" s="2">
        <v>351.537</v>
      </c>
      <c r="V44" s="8">
        <f t="shared" si="10"/>
        <v>46.9467147435897</v>
      </c>
      <c r="W44" s="2">
        <v>312.256</v>
      </c>
      <c r="X44" s="8">
        <f t="shared" si="11"/>
        <v>41.7008547008547</v>
      </c>
      <c r="Y44" s="2">
        <v>28.03</v>
      </c>
      <c r="Z44" s="8">
        <f t="shared" si="12"/>
        <v>3.74332264957265</v>
      </c>
      <c r="AA44" s="8">
        <f t="shared" si="13"/>
        <v>613.894736842105</v>
      </c>
      <c r="AB44" s="8"/>
      <c r="AC44" s="8">
        <f t="shared" si="15"/>
        <v>81.9838056680162</v>
      </c>
      <c r="AD44" s="7">
        <f t="shared" si="16"/>
        <v>1.75008477348225</v>
      </c>
      <c r="AE44" s="7">
        <f t="shared" si="17"/>
        <v>1.74631613981489</v>
      </c>
      <c r="AF44" s="7">
        <f t="shared" si="18"/>
        <v>1.96599820929656</v>
      </c>
      <c r="AG44" s="7">
        <f t="shared" si="19"/>
        <v>21.9013463018946</v>
      </c>
      <c r="AH44" s="3"/>
      <c r="AI44" s="8">
        <v>1083.06</v>
      </c>
      <c r="AJ44" s="8">
        <f t="shared" si="39"/>
        <v>62.6770833333333</v>
      </c>
      <c r="AK44" s="8">
        <v>647.5</v>
      </c>
      <c r="AL44" s="8">
        <f t="shared" si="21"/>
        <v>37.4710648148148</v>
      </c>
      <c r="AM44" s="8">
        <v>621.187</v>
      </c>
      <c r="AN44" s="8">
        <f t="shared" si="22"/>
        <v>35.9483217592593</v>
      </c>
      <c r="AO44" s="8">
        <v>110.29</v>
      </c>
      <c r="AP44" s="8">
        <f t="shared" si="23"/>
        <v>12.7650462962963</v>
      </c>
      <c r="AQ44" s="8">
        <f t="shared" si="24"/>
        <v>1576.21621621622</v>
      </c>
      <c r="AR44" s="2"/>
      <c r="AS44" s="7">
        <f t="shared" si="25"/>
        <v>1.45533600743838</v>
      </c>
      <c r="AT44" s="7">
        <f t="shared" si="26"/>
        <v>2.43431075863508</v>
      </c>
      <c r="AU44" s="7">
        <f t="shared" si="27"/>
        <v>2.53742627617161</v>
      </c>
      <c r="AV44" s="7">
        <f t="shared" si="28"/>
        <v>14.291560578622</v>
      </c>
      <c r="AX44" s="1"/>
      <c r="AY44" s="8">
        <v>1121.2</v>
      </c>
      <c r="AZ44" s="8">
        <f t="shared" si="29"/>
        <v>54.967251049143</v>
      </c>
      <c r="BA44" s="8">
        <v>1187.227</v>
      </c>
      <c r="BB44" s="8">
        <f t="shared" si="30"/>
        <v>58.2042495195513</v>
      </c>
      <c r="BC44" s="8">
        <v>335.4</v>
      </c>
      <c r="BD44" s="8">
        <f t="shared" si="31"/>
        <v>16.4431109542299</v>
      </c>
      <c r="BE44" s="8">
        <f t="shared" si="32"/>
        <v>1666.28571428571</v>
      </c>
      <c r="BF44" s="8">
        <f t="shared" si="33"/>
        <v>81.6902828904241</v>
      </c>
      <c r="BG44" s="7">
        <f t="shared" si="34"/>
        <v>1.48616278477142</v>
      </c>
      <c r="BH44" s="7">
        <f t="shared" si="35"/>
        <v>1.40351062963167</v>
      </c>
      <c r="BI44" s="7">
        <f t="shared" si="36"/>
        <v>4.96805520061334</v>
      </c>
    </row>
    <row r="45" ht="20.4" spans="1:61">
      <c r="A45" s="2">
        <v>13056</v>
      </c>
      <c r="B45" s="2">
        <v>20224</v>
      </c>
      <c r="C45" s="2">
        <v>1920</v>
      </c>
      <c r="D45" s="2">
        <v>5324</v>
      </c>
      <c r="E45" s="16">
        <v>74.5</v>
      </c>
      <c r="F45" s="2">
        <v>5770</v>
      </c>
      <c r="G45" s="17">
        <v>80.7</v>
      </c>
      <c r="H45" s="5">
        <v>6.2</v>
      </c>
      <c r="I45" s="7">
        <f t="shared" si="0"/>
        <v>1.08377160030053</v>
      </c>
      <c r="J45" s="7">
        <f t="shared" si="1"/>
        <v>1.90811169034224</v>
      </c>
      <c r="K45" s="7">
        <f t="shared" si="2"/>
        <v>1.90065221687858</v>
      </c>
      <c r="L45" s="7">
        <f t="shared" si="3"/>
        <v>2.12928832025205</v>
      </c>
      <c r="M45" s="7">
        <f t="shared" si="4"/>
        <v>21.3672048585395</v>
      </c>
      <c r="N45" s="8">
        <f t="shared" si="40"/>
        <v>3023.932</v>
      </c>
      <c r="O45" s="8">
        <f t="shared" si="6"/>
        <v>3035.8</v>
      </c>
      <c r="P45" s="8">
        <f t="shared" si="7"/>
        <v>2709.8256</v>
      </c>
      <c r="Q45" s="8">
        <f t="shared" si="37"/>
        <v>270.04</v>
      </c>
      <c r="R45" s="3"/>
      <c r="S45" s="2">
        <v>351.62</v>
      </c>
      <c r="T45" s="8">
        <f t="shared" si="38"/>
        <v>46.9577991452991</v>
      </c>
      <c r="U45" s="2">
        <v>353</v>
      </c>
      <c r="V45" s="8">
        <f t="shared" si="10"/>
        <v>47.142094017094</v>
      </c>
      <c r="W45" s="2">
        <v>315.096</v>
      </c>
      <c r="X45" s="8">
        <f t="shared" si="11"/>
        <v>42.0801282051282</v>
      </c>
      <c r="Y45" s="2">
        <v>31.4</v>
      </c>
      <c r="Z45" s="8">
        <f t="shared" si="12"/>
        <v>4.19337606837607</v>
      </c>
      <c r="AA45" s="8">
        <f t="shared" si="13"/>
        <v>607.368421052632</v>
      </c>
      <c r="AB45" s="8"/>
      <c r="AC45" s="8">
        <f t="shared" si="15"/>
        <v>81.1122357174989</v>
      </c>
      <c r="AD45" s="7">
        <f t="shared" si="16"/>
        <v>1.72734321441508</v>
      </c>
      <c r="AE45" s="7">
        <f t="shared" si="17"/>
        <v>1.72059042791114</v>
      </c>
      <c r="AF45" s="7">
        <f t="shared" si="18"/>
        <v>1.92756626885975</v>
      </c>
      <c r="AG45" s="7">
        <f t="shared" si="19"/>
        <v>19.3429433456252</v>
      </c>
      <c r="AH45" s="3"/>
      <c r="AI45" s="8">
        <v>1059.98</v>
      </c>
      <c r="AJ45" s="8">
        <f t="shared" si="39"/>
        <v>61.3414351851852</v>
      </c>
      <c r="AK45" s="8">
        <v>645.812</v>
      </c>
      <c r="AL45" s="8">
        <f t="shared" si="21"/>
        <v>37.3733796296296</v>
      </c>
      <c r="AM45" s="8">
        <v>620.334</v>
      </c>
      <c r="AN45" s="8">
        <f t="shared" si="22"/>
        <v>35.8989583333333</v>
      </c>
      <c r="AO45" s="8">
        <v>106.91</v>
      </c>
      <c r="AP45" s="8">
        <f t="shared" si="23"/>
        <v>12.3738425925926</v>
      </c>
      <c r="AQ45" s="8">
        <f t="shared" si="24"/>
        <v>1559.45945945946</v>
      </c>
      <c r="AR45" s="2"/>
      <c r="AS45" s="7">
        <f t="shared" si="25"/>
        <v>1.47121592809247</v>
      </c>
      <c r="AT45" s="7">
        <f t="shared" si="26"/>
        <v>2.41472666884397</v>
      </c>
      <c r="AU45" s="7">
        <f t="shared" si="27"/>
        <v>2.51390292884069</v>
      </c>
      <c r="AV45" s="7">
        <f t="shared" si="28"/>
        <v>14.5866566220135</v>
      </c>
      <c r="AX45" s="1"/>
      <c r="AY45" s="8">
        <v>1112.03</v>
      </c>
      <c r="AZ45" s="8">
        <f t="shared" si="29"/>
        <v>54.5176883554928</v>
      </c>
      <c r="BA45" s="8">
        <v>1170.776</v>
      </c>
      <c r="BB45" s="8">
        <f t="shared" si="30"/>
        <v>57.3977330666353</v>
      </c>
      <c r="BC45" s="8">
        <v>334.4</v>
      </c>
      <c r="BD45" s="8">
        <f t="shared" si="31"/>
        <v>16.3940855786955</v>
      </c>
      <c r="BE45" s="8">
        <f t="shared" si="32"/>
        <v>1648.57142857143</v>
      </c>
      <c r="BF45" s="8">
        <f t="shared" si="33"/>
        <v>80.821833380958</v>
      </c>
      <c r="BG45" s="7">
        <f t="shared" si="34"/>
        <v>1.48248826791672</v>
      </c>
      <c r="BH45" s="7">
        <f t="shared" si="35"/>
        <v>1.40810148873177</v>
      </c>
      <c r="BI45" s="7">
        <f t="shared" si="36"/>
        <v>4.92993848257006</v>
      </c>
    </row>
    <row r="46" ht="20.4" spans="1:61">
      <c r="A46" s="2">
        <v>13056</v>
      </c>
      <c r="B46" s="2">
        <v>25216</v>
      </c>
      <c r="C46" s="2">
        <v>1920</v>
      </c>
      <c r="D46" s="2">
        <v>5374</v>
      </c>
      <c r="E46" s="16">
        <v>75.2</v>
      </c>
      <c r="F46" s="2">
        <v>5809</v>
      </c>
      <c r="G46" s="17">
        <v>81.3</v>
      </c>
      <c r="H46" s="5">
        <v>6</v>
      </c>
      <c r="I46" s="7">
        <f t="shared" si="0"/>
        <v>1.08094529214738</v>
      </c>
      <c r="J46" s="7">
        <f t="shared" si="1"/>
        <v>1.91833550958243</v>
      </c>
      <c r="K46" s="7">
        <f t="shared" si="2"/>
        <v>1.91193361887596</v>
      </c>
      <c r="L46" s="7">
        <f t="shared" si="3"/>
        <v>2.17388473239101</v>
      </c>
      <c r="M46" s="7">
        <f t="shared" si="4"/>
        <v>22.9750039550704</v>
      </c>
      <c r="N46" s="8">
        <f t="shared" si="40"/>
        <v>3028.146</v>
      </c>
      <c r="O46" s="8">
        <f t="shared" si="6"/>
        <v>3038.2854</v>
      </c>
      <c r="P46" s="8">
        <f t="shared" si="7"/>
        <v>2672.1748</v>
      </c>
      <c r="Q46" s="8">
        <f t="shared" si="37"/>
        <v>252.84</v>
      </c>
      <c r="R46" s="3"/>
      <c r="S46" s="2">
        <v>352.11</v>
      </c>
      <c r="T46" s="8">
        <f t="shared" si="38"/>
        <v>47.0232371794872</v>
      </c>
      <c r="U46" s="2">
        <v>353.289</v>
      </c>
      <c r="V46" s="8">
        <f t="shared" si="10"/>
        <v>47.1806891025641</v>
      </c>
      <c r="W46" s="2">
        <v>310.718</v>
      </c>
      <c r="X46" s="8">
        <f t="shared" si="11"/>
        <v>41.4954594017094</v>
      </c>
      <c r="Y46" s="2">
        <v>29.4</v>
      </c>
      <c r="Z46" s="8">
        <f t="shared" si="12"/>
        <v>3.92628205128205</v>
      </c>
      <c r="AA46" s="8">
        <f t="shared" si="13"/>
        <v>611.473684210526</v>
      </c>
      <c r="AB46" s="8"/>
      <c r="AC46" s="8">
        <f t="shared" si="15"/>
        <v>81.660481331534</v>
      </c>
      <c r="AD46" s="7">
        <f t="shared" si="16"/>
        <v>1.7365984613062</v>
      </c>
      <c r="AE46" s="7">
        <f t="shared" si="17"/>
        <v>1.73080306550877</v>
      </c>
      <c r="AF46" s="7">
        <f t="shared" si="18"/>
        <v>1.96793775774344</v>
      </c>
      <c r="AG46" s="7">
        <f t="shared" si="19"/>
        <v>20.7984246330111</v>
      </c>
      <c r="AH46" s="3"/>
      <c r="AI46" s="8">
        <v>1076.99</v>
      </c>
      <c r="AJ46" s="8">
        <f t="shared" si="39"/>
        <v>62.3258101851852</v>
      </c>
      <c r="AK46" s="8">
        <v>645.549</v>
      </c>
      <c r="AL46" s="8">
        <f t="shared" si="21"/>
        <v>37.3581597222222</v>
      </c>
      <c r="AM46" s="8">
        <v>609.19</v>
      </c>
      <c r="AN46" s="8">
        <f t="shared" si="22"/>
        <v>35.2540509259259</v>
      </c>
      <c r="AO46" s="8">
        <v>113.64</v>
      </c>
      <c r="AP46" s="8">
        <f t="shared" si="23"/>
        <v>13.1527777777778</v>
      </c>
      <c r="AQ46" s="8">
        <f t="shared" si="24"/>
        <v>1570</v>
      </c>
      <c r="AR46" s="2"/>
      <c r="AS46" s="7">
        <f t="shared" si="25"/>
        <v>1.45776655307849</v>
      </c>
      <c r="AT46" s="7">
        <f t="shared" si="26"/>
        <v>2.43203846648357</v>
      </c>
      <c r="AU46" s="7">
        <f t="shared" si="27"/>
        <v>2.57719266567081</v>
      </c>
      <c r="AV46" s="7">
        <f t="shared" si="28"/>
        <v>13.8155579021471</v>
      </c>
      <c r="AX46" s="1"/>
      <c r="AY46" s="8">
        <v>1117.25</v>
      </c>
      <c r="AZ46" s="8">
        <f t="shared" si="29"/>
        <v>54.7736008157823</v>
      </c>
      <c r="BA46" s="8">
        <v>1169.21</v>
      </c>
      <c r="BB46" s="8">
        <f t="shared" si="30"/>
        <v>57.3209593285485</v>
      </c>
      <c r="BC46" s="8">
        <v>332.66</v>
      </c>
      <c r="BD46" s="8">
        <f t="shared" si="31"/>
        <v>16.3087814252657</v>
      </c>
      <c r="BE46" s="8">
        <f t="shared" si="32"/>
        <v>1659.71428571429</v>
      </c>
      <c r="BF46" s="8">
        <f t="shared" si="33"/>
        <v>81.3681161369125</v>
      </c>
      <c r="BG46" s="7">
        <f t="shared" si="34"/>
        <v>1.48553527474986</v>
      </c>
      <c r="BH46" s="7">
        <f t="shared" si="35"/>
        <v>1.41951769631998</v>
      </c>
      <c r="BI46" s="7">
        <f t="shared" si="36"/>
        <v>4.989221083732</v>
      </c>
    </row>
    <row r="47" ht="20.4" spans="1:61">
      <c r="A47" s="2">
        <v>12672</v>
      </c>
      <c r="B47" s="2">
        <v>11008</v>
      </c>
      <c r="C47" s="2">
        <v>1920</v>
      </c>
      <c r="D47" s="2">
        <v>4775</v>
      </c>
      <c r="E47" s="16">
        <v>66.8</v>
      </c>
      <c r="F47" s="2">
        <v>5455</v>
      </c>
      <c r="G47" s="17">
        <v>76.3</v>
      </c>
      <c r="H47" s="5">
        <v>9.5</v>
      </c>
      <c r="I47" s="7">
        <f t="shared" si="0"/>
        <v>1.14240837696335</v>
      </c>
      <c r="J47" s="7">
        <f t="shared" si="1"/>
        <v>1.80903609383508</v>
      </c>
      <c r="K47" s="7">
        <f t="shared" si="2"/>
        <v>1.80215395555119</v>
      </c>
      <c r="L47" s="7">
        <f t="shared" si="3"/>
        <v>2.0402527085804</v>
      </c>
      <c r="M47" s="7">
        <f t="shared" si="4"/>
        <v>21.2639063218704</v>
      </c>
      <c r="N47" s="8">
        <f t="shared" si="40"/>
        <v>3015.418</v>
      </c>
      <c r="O47" s="8">
        <f t="shared" si="6"/>
        <v>3026.9334</v>
      </c>
      <c r="P47" s="8">
        <f t="shared" si="7"/>
        <v>2673.6884</v>
      </c>
      <c r="Q47" s="8">
        <f t="shared" si="37"/>
        <v>256.538</v>
      </c>
      <c r="R47" s="3"/>
      <c r="S47" s="2">
        <v>350.63</v>
      </c>
      <c r="T47" s="8">
        <f t="shared" si="38"/>
        <v>46.8255876068376</v>
      </c>
      <c r="U47" s="2">
        <v>351.969</v>
      </c>
      <c r="V47" s="8">
        <f t="shared" si="10"/>
        <v>47.0044070512821</v>
      </c>
      <c r="W47" s="2">
        <v>310.894</v>
      </c>
      <c r="X47" s="8">
        <f t="shared" si="11"/>
        <v>41.5189636752137</v>
      </c>
      <c r="Y47" s="2">
        <v>29.83</v>
      </c>
      <c r="Z47" s="8">
        <f t="shared" si="12"/>
        <v>3.98370726495726</v>
      </c>
      <c r="AA47" s="8">
        <f t="shared" si="13"/>
        <v>574.210526315789</v>
      </c>
      <c r="AB47" s="8"/>
      <c r="AC47" s="8">
        <f t="shared" si="15"/>
        <v>76.684098065677</v>
      </c>
      <c r="AD47" s="7">
        <f t="shared" si="16"/>
        <v>1.63765372705071</v>
      </c>
      <c r="AE47" s="7">
        <f t="shared" si="17"/>
        <v>1.63142358081476</v>
      </c>
      <c r="AF47" s="7">
        <f t="shared" si="18"/>
        <v>1.84696560987278</v>
      </c>
      <c r="AG47" s="7">
        <f t="shared" si="19"/>
        <v>19.2494309861143</v>
      </c>
      <c r="AH47" s="3"/>
      <c r="AI47" s="8">
        <v>1059.48</v>
      </c>
      <c r="AJ47" s="8">
        <f t="shared" si="39"/>
        <v>61.3125</v>
      </c>
      <c r="AK47" s="8">
        <v>646.532</v>
      </c>
      <c r="AL47" s="8">
        <f t="shared" si="21"/>
        <v>37.4150462962963</v>
      </c>
      <c r="AM47" s="8">
        <v>620.449</v>
      </c>
      <c r="AN47" s="8">
        <f t="shared" si="22"/>
        <v>35.9056134259259</v>
      </c>
      <c r="AO47" s="8">
        <v>141.11</v>
      </c>
      <c r="AP47" s="8">
        <f t="shared" si="23"/>
        <v>16.3321759259259</v>
      </c>
      <c r="AQ47" s="8">
        <f t="shared" si="24"/>
        <v>1474.32432432432</v>
      </c>
      <c r="AR47" s="2"/>
      <c r="AS47" s="7">
        <f t="shared" si="25"/>
        <v>1.39155465353223</v>
      </c>
      <c r="AT47" s="7">
        <f t="shared" si="26"/>
        <v>2.28035785440523</v>
      </c>
      <c r="AU47" s="7">
        <f t="shared" si="27"/>
        <v>2.37622161422506</v>
      </c>
      <c r="AV47" s="7">
        <f t="shared" si="28"/>
        <v>10.4480499208017</v>
      </c>
      <c r="AX47" s="1"/>
      <c r="AY47" s="8">
        <v>1146.33</v>
      </c>
      <c r="AZ47" s="8">
        <f t="shared" si="29"/>
        <v>56.1992587363219</v>
      </c>
      <c r="BA47" s="8">
        <v>1169.197</v>
      </c>
      <c r="BB47" s="8">
        <f t="shared" si="30"/>
        <v>57.3203219986665</v>
      </c>
      <c r="BC47" s="8">
        <v>329.13</v>
      </c>
      <c r="BD47" s="8">
        <f t="shared" si="31"/>
        <v>16.1357218496294</v>
      </c>
      <c r="BE47" s="8">
        <f t="shared" si="32"/>
        <v>1558.57142857143</v>
      </c>
      <c r="BF47" s="8">
        <f t="shared" si="33"/>
        <v>76.4095495828641</v>
      </c>
      <c r="BG47" s="7">
        <f t="shared" si="34"/>
        <v>1.35961845940648</v>
      </c>
      <c r="BH47" s="7">
        <f t="shared" si="35"/>
        <v>1.33302722173546</v>
      </c>
      <c r="BI47" s="7">
        <f t="shared" si="36"/>
        <v>4.7354280332131</v>
      </c>
    </row>
    <row r="48" ht="20.4" spans="1:61">
      <c r="A48" s="2">
        <v>12672</v>
      </c>
      <c r="B48" s="2">
        <v>16000</v>
      </c>
      <c r="C48" s="2">
        <v>1920</v>
      </c>
      <c r="D48" s="2">
        <v>4858</v>
      </c>
      <c r="E48" s="16">
        <v>68</v>
      </c>
      <c r="F48" s="2">
        <v>5504</v>
      </c>
      <c r="G48" s="17">
        <v>77</v>
      </c>
      <c r="H48" s="5">
        <v>9</v>
      </c>
      <c r="I48" s="7">
        <f t="shared" si="0"/>
        <v>1.1329765335529</v>
      </c>
      <c r="J48" s="7">
        <f t="shared" si="1"/>
        <v>1.81766543595569</v>
      </c>
      <c r="K48" s="7">
        <f t="shared" si="2"/>
        <v>1.81391499540853</v>
      </c>
      <c r="L48" s="7">
        <f t="shared" si="3"/>
        <v>2.05533342967709</v>
      </c>
      <c r="M48" s="7">
        <f t="shared" si="4"/>
        <v>17.9372197309417</v>
      </c>
      <c r="N48" s="8">
        <f t="shared" si="40"/>
        <v>3028.06</v>
      </c>
      <c r="O48" s="8">
        <f t="shared" si="6"/>
        <v>3034.3208</v>
      </c>
      <c r="P48" s="8">
        <f t="shared" si="7"/>
        <v>2677.911</v>
      </c>
      <c r="Q48" s="8">
        <f t="shared" si="37"/>
        <v>306.848</v>
      </c>
      <c r="R48" s="3"/>
      <c r="S48" s="2">
        <v>352.1</v>
      </c>
      <c r="T48" s="8">
        <f t="shared" si="38"/>
        <v>47.0219017094017</v>
      </c>
      <c r="U48" s="2">
        <v>352.828</v>
      </c>
      <c r="V48" s="8">
        <f t="shared" si="10"/>
        <v>47.1191239316239</v>
      </c>
      <c r="W48" s="2">
        <v>311.385</v>
      </c>
      <c r="X48" s="8">
        <f t="shared" si="11"/>
        <v>41.5845352564103</v>
      </c>
      <c r="Y48" s="2">
        <v>35.68</v>
      </c>
      <c r="Z48" s="8">
        <f t="shared" si="12"/>
        <v>4.76495726495727</v>
      </c>
      <c r="AA48" s="8">
        <f t="shared" si="13"/>
        <v>579.368421052632</v>
      </c>
      <c r="AB48" s="8"/>
      <c r="AC48" s="8">
        <f t="shared" si="15"/>
        <v>77.3729194781826</v>
      </c>
      <c r="AD48" s="7">
        <f t="shared" si="16"/>
        <v>1.64546555254937</v>
      </c>
      <c r="AE48" s="7">
        <f t="shared" si="17"/>
        <v>1.64207041689614</v>
      </c>
      <c r="AF48" s="7">
        <f t="shared" si="18"/>
        <v>1.8606176310761</v>
      </c>
      <c r="AG48" s="7">
        <f t="shared" si="19"/>
        <v>16.2379041774841</v>
      </c>
      <c r="AH48" s="3"/>
      <c r="AI48" s="8">
        <v>1046.15</v>
      </c>
      <c r="AJ48" s="8">
        <f t="shared" si="39"/>
        <v>60.541087962963</v>
      </c>
      <c r="AK48" s="8">
        <v>631.544</v>
      </c>
      <c r="AL48" s="8">
        <f t="shared" si="21"/>
        <v>36.5476851851852</v>
      </c>
      <c r="AM48" s="8">
        <v>609.362</v>
      </c>
      <c r="AN48" s="8">
        <f t="shared" si="22"/>
        <v>35.2640046296296</v>
      </c>
      <c r="AO48" s="8">
        <v>138.58</v>
      </c>
      <c r="AP48" s="8">
        <f t="shared" si="23"/>
        <v>16.0393518518519</v>
      </c>
      <c r="AQ48" s="8">
        <f t="shared" si="24"/>
        <v>1487.56756756757</v>
      </c>
      <c r="AR48" s="2"/>
      <c r="AS48" s="7">
        <f t="shared" si="25"/>
        <v>1.42194481438376</v>
      </c>
      <c r="AT48" s="7">
        <f t="shared" si="26"/>
        <v>2.35544564997461</v>
      </c>
      <c r="AU48" s="7">
        <f t="shared" si="27"/>
        <v>2.44118859982665</v>
      </c>
      <c r="AV48" s="7">
        <f t="shared" si="28"/>
        <v>10.7343597024648</v>
      </c>
      <c r="AX48" s="1"/>
      <c r="AY48" s="8">
        <v>1153.72</v>
      </c>
      <c r="AZ48" s="8">
        <f t="shared" si="29"/>
        <v>56.561556261521</v>
      </c>
      <c r="BA48" s="8">
        <v>1173.152</v>
      </c>
      <c r="BB48" s="8">
        <f t="shared" si="30"/>
        <v>57.514217358905</v>
      </c>
      <c r="BC48" s="8">
        <v>338.96</v>
      </c>
      <c r="BD48" s="8">
        <f t="shared" si="31"/>
        <v>16.6176412911323</v>
      </c>
      <c r="BE48" s="8">
        <f t="shared" si="32"/>
        <v>1572.57142857143</v>
      </c>
      <c r="BF48" s="8">
        <f t="shared" si="33"/>
        <v>77.0959048403454</v>
      </c>
      <c r="BG48" s="7">
        <f t="shared" si="34"/>
        <v>1.36304426426813</v>
      </c>
      <c r="BH48" s="7">
        <f t="shared" si="35"/>
        <v>1.34046690332662</v>
      </c>
      <c r="BI48" s="7">
        <f t="shared" si="36"/>
        <v>4.63940119356688</v>
      </c>
    </row>
    <row r="49" ht="20.4" spans="1:61">
      <c r="A49" s="2">
        <v>12672</v>
      </c>
      <c r="B49" s="2">
        <v>19072</v>
      </c>
      <c r="C49" s="2">
        <v>1920</v>
      </c>
      <c r="D49" s="2">
        <v>4987</v>
      </c>
      <c r="E49" s="16">
        <v>69.8</v>
      </c>
      <c r="F49" s="2">
        <v>5575</v>
      </c>
      <c r="G49" s="17">
        <v>78</v>
      </c>
      <c r="H49" s="5">
        <v>8.2</v>
      </c>
      <c r="I49" s="7">
        <f t="shared" si="0"/>
        <v>1.11790655704833</v>
      </c>
      <c r="J49" s="7">
        <f t="shared" si="1"/>
        <v>1.85205363680215</v>
      </c>
      <c r="K49" s="7">
        <f t="shared" si="2"/>
        <v>1.83512946698492</v>
      </c>
      <c r="L49" s="7">
        <f t="shared" si="3"/>
        <v>2.08428980114941</v>
      </c>
      <c r="M49" s="7">
        <f t="shared" si="4"/>
        <v>17.9572247632545</v>
      </c>
      <c r="N49" s="8">
        <f t="shared" si="40"/>
        <v>3010.172</v>
      </c>
      <c r="O49" s="8">
        <f t="shared" si="6"/>
        <v>3037.9328</v>
      </c>
      <c r="P49" s="8">
        <f t="shared" si="7"/>
        <v>2674.772</v>
      </c>
      <c r="Q49" s="8">
        <f t="shared" si="37"/>
        <v>310.46</v>
      </c>
      <c r="R49" s="3"/>
      <c r="S49" s="2">
        <v>350.02</v>
      </c>
      <c r="T49" s="8">
        <f t="shared" si="38"/>
        <v>46.7441239316239</v>
      </c>
      <c r="U49" s="2">
        <v>353.248</v>
      </c>
      <c r="V49" s="8">
        <f t="shared" si="10"/>
        <v>47.1752136752137</v>
      </c>
      <c r="W49" s="2">
        <v>311.02</v>
      </c>
      <c r="X49" s="8">
        <f t="shared" si="11"/>
        <v>41.5357905982906</v>
      </c>
      <c r="Y49" s="2">
        <v>36.1</v>
      </c>
      <c r="Z49" s="8">
        <f t="shared" si="12"/>
        <v>4.82104700854701</v>
      </c>
      <c r="AA49" s="8">
        <f t="shared" si="13"/>
        <v>586.842105263158</v>
      </c>
      <c r="AB49" s="8"/>
      <c r="AC49" s="8">
        <f t="shared" si="15"/>
        <v>78.3710076473234</v>
      </c>
      <c r="AD49" s="7">
        <f t="shared" si="16"/>
        <v>1.67659592384195</v>
      </c>
      <c r="AE49" s="7">
        <f t="shared" si="17"/>
        <v>1.66127509642845</v>
      </c>
      <c r="AF49" s="7">
        <f t="shared" si="18"/>
        <v>1.8868307673563</v>
      </c>
      <c r="AG49" s="7">
        <f t="shared" si="19"/>
        <v>16.2560139962094</v>
      </c>
      <c r="AH49" s="3"/>
      <c r="AI49" s="8">
        <v>1047.69</v>
      </c>
      <c r="AJ49" s="8">
        <f t="shared" si="39"/>
        <v>60.6302083333333</v>
      </c>
      <c r="AK49" s="8">
        <v>649.886</v>
      </c>
      <c r="AL49" s="8">
        <f t="shared" si="21"/>
        <v>37.6091435185185</v>
      </c>
      <c r="AM49" s="8">
        <v>612.769</v>
      </c>
      <c r="AN49" s="8">
        <f t="shared" si="22"/>
        <v>35.4611689814815</v>
      </c>
      <c r="AO49" s="8">
        <v>129.68</v>
      </c>
      <c r="AP49" s="8">
        <f t="shared" si="23"/>
        <v>15.0092592592593</v>
      </c>
      <c r="AQ49" s="8">
        <f t="shared" si="24"/>
        <v>1506.75675675676</v>
      </c>
      <c r="AR49" s="2"/>
      <c r="AS49" s="7">
        <f t="shared" si="25"/>
        <v>1.43817040990823</v>
      </c>
      <c r="AT49" s="7">
        <f t="shared" si="26"/>
        <v>2.31849394625635</v>
      </c>
      <c r="AU49" s="7">
        <f t="shared" si="27"/>
        <v>2.45893110904233</v>
      </c>
      <c r="AV49" s="7">
        <f t="shared" si="28"/>
        <v>11.6190372976308</v>
      </c>
      <c r="AX49" s="1"/>
      <c r="AY49" s="8">
        <v>1150.93</v>
      </c>
      <c r="AZ49" s="8">
        <f t="shared" si="29"/>
        <v>56.4247754637801</v>
      </c>
      <c r="BA49" s="8">
        <v>1178.978</v>
      </c>
      <c r="BB49" s="8">
        <f t="shared" si="30"/>
        <v>57.7998391967683</v>
      </c>
      <c r="BC49" s="8">
        <v>335.78</v>
      </c>
      <c r="BD49" s="8">
        <f t="shared" si="31"/>
        <v>16.461740596933</v>
      </c>
      <c r="BE49" s="8">
        <f t="shared" si="32"/>
        <v>1592.85714285714</v>
      </c>
      <c r="BF49" s="8">
        <f t="shared" si="33"/>
        <v>78.0904196011856</v>
      </c>
      <c r="BG49" s="7">
        <f t="shared" si="34"/>
        <v>1.38397395398256</v>
      </c>
      <c r="BH49" s="7">
        <f t="shared" si="35"/>
        <v>1.35104908052325</v>
      </c>
      <c r="BI49" s="7">
        <f t="shared" si="36"/>
        <v>4.74375228678642</v>
      </c>
    </row>
    <row r="50" ht="20.4" spans="1:61">
      <c r="A50" s="2">
        <v>12672</v>
      </c>
      <c r="B50" s="2">
        <v>5632</v>
      </c>
      <c r="C50" s="2">
        <v>1920</v>
      </c>
      <c r="D50" s="2">
        <v>4571</v>
      </c>
      <c r="E50" s="16">
        <v>63.9</v>
      </c>
      <c r="F50" s="2">
        <v>5130</v>
      </c>
      <c r="G50" s="17">
        <v>71.8</v>
      </c>
      <c r="H50" s="5">
        <v>7.8</v>
      </c>
      <c r="I50" s="7">
        <f t="shared" si="0"/>
        <v>1.12229271494203</v>
      </c>
      <c r="J50" s="7">
        <f t="shared" si="1"/>
        <v>1.6876832024529</v>
      </c>
      <c r="K50" s="7">
        <f t="shared" si="2"/>
        <v>1.68892080462689</v>
      </c>
      <c r="L50" s="7">
        <f t="shared" si="3"/>
        <v>1.92245743574308</v>
      </c>
      <c r="M50" s="7">
        <f t="shared" si="4"/>
        <v>22.1422282073859</v>
      </c>
      <c r="N50" s="8">
        <f t="shared" si="40"/>
        <v>3039.67</v>
      </c>
      <c r="O50" s="8">
        <f t="shared" si="6"/>
        <v>3037.4426</v>
      </c>
      <c r="P50" s="8">
        <f t="shared" si="7"/>
        <v>2668.4596</v>
      </c>
      <c r="Q50" s="8">
        <f t="shared" si="37"/>
        <v>231.684</v>
      </c>
      <c r="R50" s="3"/>
      <c r="S50" s="2">
        <v>353.45</v>
      </c>
      <c r="T50" s="8">
        <f t="shared" si="38"/>
        <v>47.2021901709402</v>
      </c>
      <c r="U50" s="2">
        <v>353.191</v>
      </c>
      <c r="V50" s="8">
        <f t="shared" si="10"/>
        <v>47.1676014957265</v>
      </c>
      <c r="W50" s="2">
        <v>310.286</v>
      </c>
      <c r="X50" s="8">
        <f t="shared" si="11"/>
        <v>41.4377670940171</v>
      </c>
      <c r="Y50" s="2">
        <v>26.94</v>
      </c>
      <c r="Z50" s="8">
        <f t="shared" si="12"/>
        <v>3.59775641025641</v>
      </c>
      <c r="AA50" s="8">
        <f t="shared" si="13"/>
        <v>540</v>
      </c>
      <c r="AB50" s="8"/>
      <c r="AC50" s="8">
        <f t="shared" si="15"/>
        <v>72.1153846153846</v>
      </c>
      <c r="AD50" s="7">
        <f t="shared" si="16"/>
        <v>1.52779742537841</v>
      </c>
      <c r="AE50" s="7">
        <f t="shared" si="17"/>
        <v>1.52891778103066</v>
      </c>
      <c r="AF50" s="7">
        <f t="shared" si="18"/>
        <v>1.740329889199</v>
      </c>
      <c r="AG50" s="7">
        <f t="shared" si="19"/>
        <v>20.0445434298441</v>
      </c>
      <c r="AH50" s="3"/>
      <c r="AI50" s="8">
        <v>1015.52</v>
      </c>
      <c r="AJ50" s="8">
        <f t="shared" si="39"/>
        <v>58.7685185185185</v>
      </c>
      <c r="AK50" s="8">
        <v>642.205</v>
      </c>
      <c r="AL50" s="8">
        <f t="shared" si="21"/>
        <v>37.1646412037037</v>
      </c>
      <c r="AM50" s="8">
        <v>617.422</v>
      </c>
      <c r="AN50" s="8">
        <f t="shared" si="22"/>
        <v>35.7304398148148</v>
      </c>
      <c r="AO50" s="8">
        <v>141.24</v>
      </c>
      <c r="AP50" s="8">
        <f t="shared" si="23"/>
        <v>16.3472222222222</v>
      </c>
      <c r="AQ50" s="8">
        <f t="shared" si="24"/>
        <v>1386.48648648649</v>
      </c>
      <c r="AR50" s="2"/>
      <c r="AS50" s="7">
        <f t="shared" si="25"/>
        <v>1.365297075869</v>
      </c>
      <c r="AT50" s="7">
        <f t="shared" si="26"/>
        <v>2.15894688843358</v>
      </c>
      <c r="AU50" s="7">
        <f t="shared" si="27"/>
        <v>2.24560590080445</v>
      </c>
      <c r="AV50" s="7">
        <f t="shared" si="28"/>
        <v>9.81652850811729</v>
      </c>
      <c r="AX50" s="1"/>
      <c r="AY50" s="8">
        <v>1112.66</v>
      </c>
      <c r="AZ50" s="8">
        <f t="shared" si="29"/>
        <v>54.5485743420795</v>
      </c>
      <c r="BA50" s="8">
        <v>1160.783</v>
      </c>
      <c r="BB50" s="8">
        <f t="shared" si="30"/>
        <v>56.9078224889203</v>
      </c>
      <c r="BC50" s="8">
        <v>334.3</v>
      </c>
      <c r="BD50" s="8">
        <f t="shared" si="31"/>
        <v>16.3891830411421</v>
      </c>
      <c r="BE50" s="8">
        <f t="shared" si="32"/>
        <v>1465.71428571429</v>
      </c>
      <c r="BF50" s="8">
        <f t="shared" si="33"/>
        <v>71.8571932832434</v>
      </c>
      <c r="BG50" s="7">
        <f t="shared" si="34"/>
        <v>1.31730653183748</v>
      </c>
      <c r="BH50" s="7">
        <f t="shared" si="35"/>
        <v>1.26269447925606</v>
      </c>
      <c r="BI50" s="7">
        <f t="shared" si="36"/>
        <v>4.38442801589676</v>
      </c>
    </row>
    <row r="51" ht="20.4" spans="1:61">
      <c r="A51" s="2">
        <v>12672</v>
      </c>
      <c r="B51" s="2">
        <v>14080</v>
      </c>
      <c r="C51" s="2">
        <v>1920</v>
      </c>
      <c r="D51" s="2">
        <v>4982</v>
      </c>
      <c r="E51" s="16">
        <v>69.7</v>
      </c>
      <c r="F51" s="2">
        <v>5506</v>
      </c>
      <c r="G51" s="17">
        <v>77.1</v>
      </c>
      <c r="H51" s="5">
        <v>7.3</v>
      </c>
      <c r="I51" s="7">
        <f t="shared" si="0"/>
        <v>1.10517864311521</v>
      </c>
      <c r="J51" s="7">
        <f t="shared" si="1"/>
        <v>1.82158522246432</v>
      </c>
      <c r="K51" s="7">
        <f t="shared" si="2"/>
        <v>1.81603074257055</v>
      </c>
      <c r="L51" s="7">
        <f t="shared" si="3"/>
        <v>2.05753397117136</v>
      </c>
      <c r="M51" s="7">
        <f t="shared" si="4"/>
        <v>20.6793461931374</v>
      </c>
      <c r="N51" s="8">
        <f t="shared" si="40"/>
        <v>3022.642</v>
      </c>
      <c r="O51" s="8">
        <f t="shared" si="6"/>
        <v>3031.887</v>
      </c>
      <c r="P51" s="8">
        <f t="shared" si="7"/>
        <v>2676.019</v>
      </c>
      <c r="Q51" s="8">
        <f t="shared" si="37"/>
        <v>266.256</v>
      </c>
      <c r="R51" s="3"/>
      <c r="S51" s="2">
        <v>351.47</v>
      </c>
      <c r="T51" s="8">
        <f t="shared" si="38"/>
        <v>46.9377670940171</v>
      </c>
      <c r="U51" s="2">
        <v>352.545</v>
      </c>
      <c r="V51" s="8">
        <f t="shared" si="10"/>
        <v>47.0813301282051</v>
      </c>
      <c r="W51" s="2">
        <v>311.165</v>
      </c>
      <c r="X51" s="8">
        <f t="shared" si="11"/>
        <v>41.5551549145299</v>
      </c>
      <c r="Y51" s="2">
        <v>30.96</v>
      </c>
      <c r="Z51" s="8">
        <f t="shared" si="12"/>
        <v>4.13461538461539</v>
      </c>
      <c r="AA51" s="8">
        <f t="shared" si="13"/>
        <v>579.578947368421</v>
      </c>
      <c r="AB51" s="8"/>
      <c r="AC51" s="8">
        <f t="shared" si="15"/>
        <v>77.4010346378767</v>
      </c>
      <c r="AD51" s="7">
        <f t="shared" si="16"/>
        <v>1.64901399086244</v>
      </c>
      <c r="AE51" s="7">
        <f t="shared" si="17"/>
        <v>1.64398572485334</v>
      </c>
      <c r="AF51" s="7">
        <f t="shared" si="18"/>
        <v>1.86260970021828</v>
      </c>
      <c r="AG51" s="7">
        <f t="shared" si="19"/>
        <v>18.7202502379981</v>
      </c>
      <c r="AH51" s="3"/>
      <c r="AI51" s="8">
        <v>1096</v>
      </c>
      <c r="AJ51" s="8">
        <f t="shared" si="39"/>
        <v>63.4259259259259</v>
      </c>
      <c r="AK51" s="8">
        <v>648.422</v>
      </c>
      <c r="AL51" s="8">
        <f t="shared" si="21"/>
        <v>37.5244212962963</v>
      </c>
      <c r="AM51" s="8">
        <v>617.267</v>
      </c>
      <c r="AN51" s="8">
        <f t="shared" si="22"/>
        <v>35.7214699074074</v>
      </c>
      <c r="AO51" s="8">
        <v>142.03</v>
      </c>
      <c r="AP51" s="8">
        <f t="shared" si="23"/>
        <v>16.4386574074074</v>
      </c>
      <c r="AQ51" s="8">
        <f t="shared" si="24"/>
        <v>1488.10810810811</v>
      </c>
      <c r="AR51" s="2"/>
      <c r="AS51" s="7">
        <f t="shared" si="25"/>
        <v>1.35776287236141</v>
      </c>
      <c r="AT51" s="7">
        <f t="shared" si="26"/>
        <v>2.29496856693343</v>
      </c>
      <c r="AU51" s="7">
        <f t="shared" si="27"/>
        <v>2.41080133573981</v>
      </c>
      <c r="AV51" s="7">
        <f t="shared" si="28"/>
        <v>10.4774210244885</v>
      </c>
      <c r="AX51" s="1"/>
      <c r="AY51" s="8">
        <v>1145.96</v>
      </c>
      <c r="AZ51" s="8">
        <f t="shared" si="29"/>
        <v>56.1811193473742</v>
      </c>
      <c r="BA51" s="8">
        <v>1161.256</v>
      </c>
      <c r="BB51" s="8">
        <f t="shared" si="30"/>
        <v>56.931011491548</v>
      </c>
      <c r="BC51" s="8">
        <v>336.85</v>
      </c>
      <c r="BD51" s="8">
        <f t="shared" si="31"/>
        <v>16.5141977487548</v>
      </c>
      <c r="BE51" s="8">
        <f t="shared" si="32"/>
        <v>1573.14285714286</v>
      </c>
      <c r="BF51" s="8">
        <f t="shared" si="33"/>
        <v>77.1239193406507</v>
      </c>
      <c r="BG51" s="7">
        <f t="shared" si="34"/>
        <v>1.37277292151808</v>
      </c>
      <c r="BH51" s="7">
        <f t="shared" si="35"/>
        <v>1.35469083229095</v>
      </c>
      <c r="BI51" s="7">
        <f t="shared" si="36"/>
        <v>4.67015840030535</v>
      </c>
    </row>
    <row r="52" ht="20.4" spans="1:61">
      <c r="A52" s="2">
        <v>12672</v>
      </c>
      <c r="B52" s="2">
        <v>17152</v>
      </c>
      <c r="C52" s="2">
        <v>1920</v>
      </c>
      <c r="D52" s="2">
        <v>5091</v>
      </c>
      <c r="E52" s="16">
        <v>71.2</v>
      </c>
      <c r="F52" s="2">
        <v>5598</v>
      </c>
      <c r="G52" s="17">
        <v>87.8</v>
      </c>
      <c r="H52" s="5">
        <v>7</v>
      </c>
      <c r="I52" s="7">
        <f t="shared" si="0"/>
        <v>1.09958750736594</v>
      </c>
      <c r="J52" s="7">
        <f t="shared" si="1"/>
        <v>1.84849841698796</v>
      </c>
      <c r="K52" s="7">
        <f t="shared" si="2"/>
        <v>1.84999568730909</v>
      </c>
      <c r="L52" s="7">
        <f t="shared" si="3"/>
        <v>2.11288848387456</v>
      </c>
      <c r="M52" s="7">
        <f t="shared" si="4"/>
        <v>21.0180895239955</v>
      </c>
      <c r="N52" s="8">
        <f t="shared" si="40"/>
        <v>3028.404</v>
      </c>
      <c r="O52" s="8">
        <f t="shared" si="6"/>
        <v>3025.953</v>
      </c>
      <c r="P52" s="8">
        <f t="shared" si="7"/>
        <v>2649.4536</v>
      </c>
      <c r="Q52" s="8">
        <f t="shared" si="37"/>
        <v>266.342</v>
      </c>
      <c r="R52" s="3"/>
      <c r="S52" s="2">
        <v>352.14</v>
      </c>
      <c r="T52" s="8">
        <f t="shared" si="38"/>
        <v>47.0272435897436</v>
      </c>
      <c r="U52" s="2">
        <v>351.855</v>
      </c>
      <c r="V52" s="8">
        <f t="shared" si="10"/>
        <v>46.9891826923077</v>
      </c>
      <c r="W52" s="2">
        <v>308.076</v>
      </c>
      <c r="X52" s="8">
        <f t="shared" si="11"/>
        <v>41.1426282051282</v>
      </c>
      <c r="Y52" s="2">
        <v>30.97</v>
      </c>
      <c r="Z52" s="8">
        <f t="shared" si="12"/>
        <v>4.13595085470085</v>
      </c>
      <c r="AA52" s="8">
        <f t="shared" si="13"/>
        <v>589.263157894737</v>
      </c>
      <c r="AB52" s="8"/>
      <c r="AC52" s="8">
        <f t="shared" si="15"/>
        <v>78.6943319838057</v>
      </c>
      <c r="AD52" s="7">
        <f t="shared" si="16"/>
        <v>1.67337751432594</v>
      </c>
      <c r="AE52" s="7">
        <f t="shared" si="17"/>
        <v>1.67473293798507</v>
      </c>
      <c r="AF52" s="7">
        <f t="shared" si="18"/>
        <v>1.91272010119171</v>
      </c>
      <c r="AG52" s="7">
        <f t="shared" si="19"/>
        <v>19.0269020954064</v>
      </c>
      <c r="AH52" s="3"/>
      <c r="AI52" s="8">
        <v>1070.26</v>
      </c>
      <c r="AJ52" s="8">
        <f t="shared" si="39"/>
        <v>61.9363425925926</v>
      </c>
      <c r="AK52" s="8">
        <v>647.433</v>
      </c>
      <c r="AL52" s="8">
        <f t="shared" si="21"/>
        <v>37.4671875</v>
      </c>
      <c r="AM52" s="8">
        <v>608.665</v>
      </c>
      <c r="AN52" s="8">
        <f t="shared" si="22"/>
        <v>35.2236689814815</v>
      </c>
      <c r="AO52" s="8">
        <v>144.88</v>
      </c>
      <c r="AP52" s="8">
        <f t="shared" si="23"/>
        <v>16.7685185185185</v>
      </c>
      <c r="AQ52" s="8">
        <f t="shared" si="24"/>
        <v>1512.97297297297</v>
      </c>
      <c r="AR52" s="2"/>
      <c r="AS52" s="7">
        <f t="shared" si="25"/>
        <v>1.41364992896396</v>
      </c>
      <c r="AT52" s="7">
        <f t="shared" si="26"/>
        <v>2.33687960448876</v>
      </c>
      <c r="AU52" s="7">
        <f t="shared" si="27"/>
        <v>2.48572362953837</v>
      </c>
      <c r="AV52" s="7">
        <f t="shared" si="28"/>
        <v>10.4429387974391</v>
      </c>
      <c r="AX52" s="1"/>
      <c r="AY52" s="8">
        <v>1151.58</v>
      </c>
      <c r="AZ52" s="8">
        <f t="shared" si="29"/>
        <v>56.4566419578774</v>
      </c>
      <c r="BA52" s="8">
        <v>1169.282</v>
      </c>
      <c r="BB52" s="8">
        <f t="shared" si="30"/>
        <v>57.3244891555869</v>
      </c>
      <c r="BC52" s="8">
        <v>335.44</v>
      </c>
      <c r="BD52" s="8">
        <f t="shared" si="31"/>
        <v>16.4450719692513</v>
      </c>
      <c r="BE52" s="8">
        <f t="shared" si="32"/>
        <v>1599.42857142857</v>
      </c>
      <c r="BF52" s="8">
        <f t="shared" si="33"/>
        <v>78.4125863546972</v>
      </c>
      <c r="BG52" s="7">
        <f t="shared" si="34"/>
        <v>1.38889922665257</v>
      </c>
      <c r="BH52" s="7">
        <f t="shared" si="35"/>
        <v>1.36787239641812</v>
      </c>
      <c r="BI52" s="7">
        <f t="shared" si="36"/>
        <v>4.76815099996593</v>
      </c>
    </row>
    <row r="53" ht="20.4" spans="13:34">
      <c r="M53" s="2"/>
      <c r="N53" s="2"/>
      <c r="R53" s="3"/>
      <c r="AH53" s="3"/>
    </row>
  </sheetData>
  <mergeCells count="7">
    <mergeCell ref="D2:Q2"/>
    <mergeCell ref="S2:AG2"/>
    <mergeCell ref="AI2:AV2"/>
    <mergeCell ref="AY2:BK2"/>
    <mergeCell ref="AX3:AX18"/>
    <mergeCell ref="AX20:AX35"/>
    <mergeCell ref="AX37:AX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55"/>
  <sheetViews>
    <sheetView tabSelected="1" zoomScale="82" zoomScaleNormal="82" topLeftCell="E36" workbookViewId="0">
      <selection activeCell="P7" sqref="N7:P9"/>
    </sheetView>
  </sheetViews>
  <sheetFormatPr defaultColWidth="9.14285714285714" defaultRowHeight="16.8"/>
  <cols>
    <col min="1" max="1" width="15.3125" customWidth="1"/>
    <col min="3" max="5" width="9.14285714285714" customWidth="1"/>
    <col min="6" max="6" width="23.6607142857143" customWidth="1"/>
    <col min="7" max="7" width="14.2767857142857" customWidth="1"/>
    <col min="8" max="8" width="17.5535714285714" customWidth="1"/>
    <col min="9" max="9" width="20.6785714285714" customWidth="1"/>
    <col min="10" max="10" width="15.6160714285714" customWidth="1"/>
    <col min="11" max="12" width="19.1964285714286" customWidth="1"/>
    <col min="13" max="13" width="13.9821428571429" customWidth="1"/>
    <col min="14" max="14" width="13.6785714285714" customWidth="1"/>
    <col min="15" max="15" width="19.3482142857143" customWidth="1"/>
    <col min="16" max="16" width="19.4732142857143" customWidth="1"/>
    <col min="17" max="17" width="17.9375" customWidth="1"/>
    <col min="18" max="18" width="20.5625" customWidth="1"/>
    <col min="19" max="19" width="18.3839285714286" customWidth="1"/>
    <col min="20" max="20" width="19.6875" customWidth="1"/>
    <col min="21" max="21" width="19.0267857142857" customWidth="1"/>
    <col min="22" max="22" width="21.2232142857143" customWidth="1"/>
    <col min="23" max="23" width="20.5714285714286" customWidth="1"/>
    <col min="24" max="24" width="16.4107142857143" customWidth="1"/>
    <col min="26" max="26" width="19.4910714285714" customWidth="1"/>
    <col min="27" max="27" width="11.4553571428571" customWidth="1"/>
    <col min="28" max="28" width="19.4910714285714" customWidth="1"/>
    <col min="29" max="29" width="11.4553571428571" customWidth="1"/>
    <col min="30" max="30" width="19.4910714285714" customWidth="1"/>
    <col min="31" max="31" width="11.3035714285714" customWidth="1"/>
    <col min="32" max="32" width="18.8928571428571" customWidth="1"/>
    <col min="33" max="33" width="10.7053571428571" customWidth="1"/>
    <col min="34" max="34" width="18.8928571428571" customWidth="1"/>
    <col min="35" max="35" width="10.8660714285714" customWidth="1"/>
    <col min="36" max="36" width="16.5089285714286" customWidth="1"/>
    <col min="37" max="38" width="16.6607142857143" customWidth="1"/>
    <col min="39" max="39" width="17.4017857142857" customWidth="1"/>
    <col min="40" max="40" width="17.5" customWidth="1"/>
    <col min="42" max="42" width="15.1785714285714" customWidth="1"/>
    <col min="43" max="44" width="11.6071428571429" customWidth="1"/>
    <col min="45" max="46" width="11.4553571428571" customWidth="1"/>
    <col min="47" max="48" width="13.6875" customWidth="1"/>
    <col min="49" max="50" width="14.4285714285714" customWidth="1"/>
    <col min="51" max="51" width="13.9196428571429" customWidth="1"/>
    <col min="52" max="52" width="20.0803571428571" customWidth="1"/>
    <col min="53" max="54" width="16.8125" customWidth="1"/>
    <col min="55" max="55" width="18.1517857142857" customWidth="1"/>
    <col min="57" max="57" width="21.0982142857143" customWidth="1"/>
    <col min="58" max="59" width="14.875" customWidth="1"/>
    <col min="60" max="60" width="13.2589285714286" customWidth="1"/>
    <col min="61" max="61" width="16.2321428571429" customWidth="1"/>
    <col min="62" max="62" width="14.3392857142857" customWidth="1"/>
    <col min="63" max="63" width="14.875" customWidth="1"/>
    <col min="64" max="64" width="14.6071428571429" customWidth="1"/>
    <col min="65" max="65" width="21.5982142857143" customWidth="1"/>
    <col min="66" max="66" width="15.7857142857143" customWidth="1"/>
    <col min="67" max="67" width="18.6875" customWidth="1"/>
    <col min="68" max="68" width="18.5" customWidth="1"/>
    <col min="69" max="69" width="19.0535714285714" customWidth="1"/>
  </cols>
  <sheetData>
    <row r="1" spans="23:57">
      <c r="W1" s="3"/>
      <c r="X1" s="3"/>
      <c r="AN1" s="3"/>
      <c r="BE1" s="3"/>
    </row>
    <row r="2" ht="21" spans="6:70">
      <c r="F2" s="4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"/>
      <c r="Z2" s="12" t="s">
        <v>11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3"/>
      <c r="AP2" s="12" t="s">
        <v>12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E2" s="3"/>
      <c r="BF2" s="12" t="s">
        <v>29</v>
      </c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ht="20.4" spans="1:69">
      <c r="A3" s="1" t="s">
        <v>33</v>
      </c>
      <c r="B3" s="2" t="s">
        <v>26</v>
      </c>
      <c r="C3" s="2" t="s">
        <v>0</v>
      </c>
      <c r="D3" s="2" t="s">
        <v>1</v>
      </c>
      <c r="E3" s="2" t="s">
        <v>2</v>
      </c>
      <c r="F3" s="2" t="s">
        <v>27</v>
      </c>
      <c r="G3" s="2" t="s">
        <v>23</v>
      </c>
      <c r="H3" s="2" t="s">
        <v>28</v>
      </c>
      <c r="I3" s="2" t="s">
        <v>23</v>
      </c>
      <c r="J3" s="5" t="s">
        <v>7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2" t="s">
        <v>19</v>
      </c>
      <c r="Q3" s="2" t="s">
        <v>23</v>
      </c>
      <c r="R3" s="2" t="s">
        <v>20</v>
      </c>
      <c r="S3" s="2" t="s">
        <v>23</v>
      </c>
      <c r="T3" s="2" t="s">
        <v>21</v>
      </c>
      <c r="U3" s="2" t="s">
        <v>23</v>
      </c>
      <c r="V3" s="2" t="s">
        <v>22</v>
      </c>
      <c r="W3" s="2" t="s">
        <v>23</v>
      </c>
      <c r="X3" s="1" t="s">
        <v>34</v>
      </c>
      <c r="Y3" s="2" t="s">
        <v>26</v>
      </c>
      <c r="Z3" s="2" t="s">
        <v>19</v>
      </c>
      <c r="AA3" s="2" t="s">
        <v>23</v>
      </c>
      <c r="AB3" s="2" t="s">
        <v>20</v>
      </c>
      <c r="AC3" s="2" t="s">
        <v>23</v>
      </c>
      <c r="AD3" s="2" t="s">
        <v>21</v>
      </c>
      <c r="AE3" s="2" t="s">
        <v>23</v>
      </c>
      <c r="AF3" s="2" t="s">
        <v>22</v>
      </c>
      <c r="AG3" s="2" t="s">
        <v>23</v>
      </c>
      <c r="AH3" s="2" t="s">
        <v>28</v>
      </c>
      <c r="AI3" s="2" t="s">
        <v>23</v>
      </c>
      <c r="AJ3" s="6" t="s">
        <v>15</v>
      </c>
      <c r="AK3" s="6" t="s">
        <v>16</v>
      </c>
      <c r="AL3" s="6" t="s">
        <v>17</v>
      </c>
      <c r="AM3" s="6" t="s">
        <v>18</v>
      </c>
      <c r="AN3" s="1" t="s">
        <v>35</v>
      </c>
      <c r="AO3" s="2" t="s">
        <v>26</v>
      </c>
      <c r="AP3" s="2" t="s">
        <v>19</v>
      </c>
      <c r="AQ3" s="2" t="s">
        <v>23</v>
      </c>
      <c r="AR3" s="2" t="s">
        <v>20</v>
      </c>
      <c r="AS3" s="2" t="s">
        <v>23</v>
      </c>
      <c r="AT3" s="2" t="s">
        <v>21</v>
      </c>
      <c r="AU3" s="2" t="s">
        <v>23</v>
      </c>
      <c r="AV3" s="2" t="s">
        <v>22</v>
      </c>
      <c r="AW3" s="2" t="s">
        <v>23</v>
      </c>
      <c r="AX3" s="2" t="s">
        <v>28</v>
      </c>
      <c r="AY3" s="2" t="s">
        <v>23</v>
      </c>
      <c r="AZ3" s="6" t="s">
        <v>15</v>
      </c>
      <c r="BA3" s="6" t="s">
        <v>16</v>
      </c>
      <c r="BB3" s="6" t="s">
        <v>17</v>
      </c>
      <c r="BC3" s="6" t="s">
        <v>18</v>
      </c>
      <c r="BE3" s="1" t="s">
        <v>25</v>
      </c>
      <c r="BF3" s="2" t="s">
        <v>26</v>
      </c>
      <c r="BG3" s="2" t="s">
        <v>19</v>
      </c>
      <c r="BH3" s="2" t="s">
        <v>23</v>
      </c>
      <c r="BI3" s="2" t="s">
        <v>20</v>
      </c>
      <c r="BJ3" s="2" t="s">
        <v>23</v>
      </c>
      <c r="BK3" s="2" t="s">
        <v>22</v>
      </c>
      <c r="BL3" s="2" t="s">
        <v>23</v>
      </c>
      <c r="BM3" s="8" t="s">
        <v>36</v>
      </c>
      <c r="BN3" s="8" t="s">
        <v>23</v>
      </c>
      <c r="BO3" s="6" t="s">
        <v>15</v>
      </c>
      <c r="BP3" s="6" t="s">
        <v>16</v>
      </c>
      <c r="BQ3" s="6" t="s">
        <v>18</v>
      </c>
    </row>
    <row r="4" ht="20.4" spans="1:69">
      <c r="A4" s="1"/>
      <c r="B4" s="2">
        <v>1</v>
      </c>
      <c r="C4" s="2">
        <v>2688</v>
      </c>
      <c r="D4" s="2">
        <v>77440</v>
      </c>
      <c r="E4" s="2">
        <v>1920</v>
      </c>
      <c r="F4" s="2">
        <v>3539</v>
      </c>
      <c r="G4" s="2">
        <v>49.5</v>
      </c>
      <c r="H4" s="2">
        <v>5059</v>
      </c>
      <c r="I4" s="2">
        <v>70.8</v>
      </c>
      <c r="J4" s="5">
        <v>21.3</v>
      </c>
      <c r="K4" s="7">
        <f t="shared" ref="K4:K25" si="0">H4/F4</f>
        <v>1.42949985871715</v>
      </c>
      <c r="L4" s="7">
        <f t="shared" ref="L4:L25" si="1">H4/P4</f>
        <v>1.69121643893134</v>
      </c>
      <c r="M4" s="7">
        <f t="shared" ref="M4:M25" si="2">H4/R4</f>
        <v>1.67180821772224</v>
      </c>
      <c r="N4" s="7">
        <f t="shared" ref="N4:N25" si="3">H4/T4</f>
        <v>1.76571209783281</v>
      </c>
      <c r="O4" s="7">
        <f t="shared" ref="O4:O25" si="4">H4/V4</f>
        <v>16.9575040055776</v>
      </c>
      <c r="P4" s="8">
        <f t="shared" ref="P4:P25" si="5">Z4*8.6</f>
        <v>2991.338</v>
      </c>
      <c r="Q4" s="8">
        <f>P4/7142.4*100</f>
        <v>41.8814124103943</v>
      </c>
      <c r="R4" s="8">
        <f t="shared" ref="R4:R25" si="6">AB4*8.6</f>
        <v>3026.0648</v>
      </c>
      <c r="S4" s="8">
        <f>R4/7142.4*100</f>
        <v>42.3676187275986</v>
      </c>
      <c r="T4" s="8">
        <f t="shared" ref="T4:T25" si="7">AD4*8.6</f>
        <v>2865.133</v>
      </c>
      <c r="U4" s="8">
        <f>T4/7142.4*100</f>
        <v>40.1144293234767</v>
      </c>
      <c r="V4" s="8">
        <f t="shared" ref="V4:V25" si="8">AF4*8.6</f>
        <v>298.334</v>
      </c>
      <c r="W4" s="8">
        <f>V4/7142.4*100</f>
        <v>4.17694332437276</v>
      </c>
      <c r="X4" s="1"/>
      <c r="Y4" s="2">
        <v>1</v>
      </c>
      <c r="Z4" s="2">
        <v>347.83</v>
      </c>
      <c r="AA4" s="8">
        <f t="shared" ref="AA4:AA25" si="9">(Z4/748.8)*100</f>
        <v>46.451655982906</v>
      </c>
      <c r="AB4" s="2">
        <v>351.868</v>
      </c>
      <c r="AC4" s="8">
        <f t="shared" ref="AC4:AG4" si="10">AB4/748.8*100</f>
        <v>46.9909188034188</v>
      </c>
      <c r="AD4" s="2">
        <v>333.155</v>
      </c>
      <c r="AE4" s="8">
        <f t="shared" si="10"/>
        <v>44.4918536324786</v>
      </c>
      <c r="AF4" s="2">
        <v>34.69</v>
      </c>
      <c r="AG4" s="8">
        <f t="shared" si="10"/>
        <v>4.63274572649573</v>
      </c>
      <c r="AH4" s="8">
        <f t="shared" ref="AH4:AH25" si="11">H4/9.5</f>
        <v>532.526315789474</v>
      </c>
      <c r="AI4" s="8">
        <f t="shared" ref="AI4:AI25" si="12">AH4/748.8*100</f>
        <v>71.1172964462438</v>
      </c>
      <c r="AJ4" s="7">
        <f t="shared" ref="AJ4:AJ25" si="13">AH4/Z4</f>
        <v>1.53099593419048</v>
      </c>
      <c r="AK4" s="7">
        <f t="shared" ref="AK4:AK25" si="14">AH4/AB4</f>
        <v>1.5134263865696</v>
      </c>
      <c r="AL4" s="7">
        <f t="shared" ref="AL4:AL25" si="15">AH4/AD4</f>
        <v>1.59843410961707</v>
      </c>
      <c r="AM4" s="7">
        <f t="shared" ref="AM4:AM25" si="16">AH4/AF4</f>
        <v>15.3510036261019</v>
      </c>
      <c r="AN4" s="1"/>
      <c r="AO4" s="2">
        <v>1</v>
      </c>
      <c r="AP4" s="8">
        <v>1060.85</v>
      </c>
      <c r="AQ4" s="8">
        <f t="shared" ref="AQ4:AU4" si="17">AP4/1728*100</f>
        <v>61.3917824074074</v>
      </c>
      <c r="AR4" s="8">
        <v>625.285</v>
      </c>
      <c r="AS4" s="8">
        <f t="shared" si="17"/>
        <v>36.185474537037</v>
      </c>
      <c r="AT4" s="8">
        <v>605.523</v>
      </c>
      <c r="AU4" s="8">
        <f t="shared" si="17"/>
        <v>35.0418402777778</v>
      </c>
      <c r="AV4" s="8">
        <v>136.29</v>
      </c>
      <c r="AW4" s="8">
        <f t="shared" ref="AW4:AW25" si="18">AV4/864*100</f>
        <v>15.7743055555556</v>
      </c>
      <c r="AX4" s="8">
        <f t="shared" ref="AX4:AX25" si="19">H4/3.7</f>
        <v>1367.2972972973</v>
      </c>
      <c r="AY4" s="8">
        <f>AX4/1728*100</f>
        <v>79.126001001001</v>
      </c>
      <c r="AZ4" s="7">
        <f t="shared" ref="AZ4:AZ25" si="20">AX4/AP4</f>
        <v>1.2888695831619</v>
      </c>
      <c r="BA4" s="7">
        <f t="shared" ref="BA4:BA25" si="21">AX4/AR4</f>
        <v>2.18667855025676</v>
      </c>
      <c r="BB4" s="7">
        <f t="shared" ref="BB4:BB25" si="22">AX4/AT4</f>
        <v>2.25804353806098</v>
      </c>
      <c r="BC4" s="7">
        <f t="shared" ref="BC4:BC25" si="23">AX4/AV4</f>
        <v>10.0322642695524</v>
      </c>
      <c r="BE4" s="1"/>
      <c r="BF4" s="2">
        <v>1</v>
      </c>
      <c r="BG4" s="8">
        <v>999.14</v>
      </c>
      <c r="BH4" s="8">
        <f t="shared" ref="BH4:BL4" si="24">BG4/2039.76*100</f>
        <v>48.983213711417</v>
      </c>
      <c r="BI4" s="8">
        <v>1121.608</v>
      </c>
      <c r="BJ4" s="8">
        <f t="shared" si="24"/>
        <v>54.9872534023611</v>
      </c>
      <c r="BK4" s="8">
        <v>355.66</v>
      </c>
      <c r="BL4" s="8">
        <f t="shared" si="24"/>
        <v>17.4363650625564</v>
      </c>
      <c r="BM4" s="8">
        <f>H4/3.5</f>
        <v>1445.42857142857</v>
      </c>
      <c r="BN4" s="8">
        <f>BM4/2039.76*100</f>
        <v>70.8626785224032</v>
      </c>
      <c r="BO4" s="7">
        <f>BM4/BG4</f>
        <v>1.44667270995914</v>
      </c>
      <c r="BP4" s="7">
        <f>BM4/BI4</f>
        <v>1.28871100369164</v>
      </c>
      <c r="BQ4" s="7">
        <f>BM4/BK4</f>
        <v>4.06407403539496</v>
      </c>
    </row>
    <row r="5" ht="20.4" spans="1:69">
      <c r="A5" s="1"/>
      <c r="B5" s="2">
        <v>2</v>
      </c>
      <c r="C5" s="2">
        <v>2688</v>
      </c>
      <c r="D5" s="2">
        <v>83200</v>
      </c>
      <c r="E5" s="2">
        <v>1920</v>
      </c>
      <c r="F5" s="2">
        <v>3640</v>
      </c>
      <c r="G5" s="2">
        <v>50.9</v>
      </c>
      <c r="H5" s="2">
        <v>5082</v>
      </c>
      <c r="I5" s="2">
        <v>71.1</v>
      </c>
      <c r="J5" s="5">
        <v>20.2</v>
      </c>
      <c r="K5" s="7">
        <f t="shared" si="0"/>
        <v>1.39615384615385</v>
      </c>
      <c r="L5" s="7">
        <f t="shared" si="1"/>
        <v>1.70071442053226</v>
      </c>
      <c r="M5" s="7">
        <f t="shared" si="2"/>
        <v>1.67793057078562</v>
      </c>
      <c r="N5" s="7">
        <f t="shared" si="3"/>
        <v>1.74836602431474</v>
      </c>
      <c r="O5" s="7">
        <f t="shared" si="4"/>
        <v>22.4517565561603</v>
      </c>
      <c r="P5" s="8">
        <f t="shared" si="5"/>
        <v>2988.156</v>
      </c>
      <c r="Q5" s="8">
        <f t="shared" ref="Q5:Q25" si="25">P5/7142.4*100</f>
        <v>41.8368615591398</v>
      </c>
      <c r="R5" s="8">
        <f t="shared" si="6"/>
        <v>3028.7308</v>
      </c>
      <c r="S5" s="8">
        <f t="shared" ref="S5:S25" si="26">R5/7142.4*100</f>
        <v>42.4049451164875</v>
      </c>
      <c r="T5" s="8">
        <f t="shared" si="7"/>
        <v>2906.714</v>
      </c>
      <c r="U5" s="8">
        <f t="shared" ref="U5:U25" si="27">T5/7142.4*100</f>
        <v>40.6966005824373</v>
      </c>
      <c r="V5" s="8">
        <f t="shared" si="8"/>
        <v>226.352</v>
      </c>
      <c r="W5" s="8">
        <f t="shared" ref="W5:W25" si="28">V5/7142.4*100</f>
        <v>3.16913082437276</v>
      </c>
      <c r="X5" s="1"/>
      <c r="Y5" s="2">
        <v>2</v>
      </c>
      <c r="Z5" s="2">
        <v>347.46</v>
      </c>
      <c r="AA5" s="8">
        <f t="shared" si="9"/>
        <v>46.4022435897436</v>
      </c>
      <c r="AB5" s="2">
        <v>352.178</v>
      </c>
      <c r="AC5" s="8">
        <f t="shared" ref="AC5:AG5" si="29">AB5/748.8*100</f>
        <v>47.0323183760684</v>
      </c>
      <c r="AD5" s="2">
        <v>337.99</v>
      </c>
      <c r="AE5" s="8">
        <f t="shared" si="29"/>
        <v>45.1375534188034</v>
      </c>
      <c r="AF5" s="2">
        <v>26.32</v>
      </c>
      <c r="AG5" s="8">
        <f t="shared" si="29"/>
        <v>3.51495726495726</v>
      </c>
      <c r="AH5" s="8">
        <f t="shared" si="11"/>
        <v>534.947368421053</v>
      </c>
      <c r="AI5" s="8">
        <f t="shared" si="12"/>
        <v>71.440620782726</v>
      </c>
      <c r="AJ5" s="7">
        <f t="shared" si="13"/>
        <v>1.53959410700815</v>
      </c>
      <c r="AK5" s="7">
        <f t="shared" si="14"/>
        <v>1.51896872723751</v>
      </c>
      <c r="AL5" s="7">
        <f t="shared" si="15"/>
        <v>1.58273134832703</v>
      </c>
      <c r="AM5" s="7">
        <f t="shared" si="16"/>
        <v>20.3247480403135</v>
      </c>
      <c r="AN5" s="1"/>
      <c r="AO5" s="2">
        <v>2</v>
      </c>
      <c r="AP5" s="8">
        <v>1023.12</v>
      </c>
      <c r="AQ5" s="8">
        <f t="shared" ref="AQ5:AU5" si="30">AP5/1728*100</f>
        <v>59.2083333333333</v>
      </c>
      <c r="AR5" s="8">
        <v>623.643</v>
      </c>
      <c r="AS5" s="8">
        <f t="shared" si="30"/>
        <v>36.0904513888889</v>
      </c>
      <c r="AT5" s="8">
        <v>612.706</v>
      </c>
      <c r="AU5" s="8">
        <f t="shared" si="30"/>
        <v>35.4575231481481</v>
      </c>
      <c r="AV5" s="8">
        <v>142.45</v>
      </c>
      <c r="AW5" s="8">
        <f t="shared" si="18"/>
        <v>16.4872685185185</v>
      </c>
      <c r="AX5" s="8">
        <f t="shared" si="19"/>
        <v>1373.51351351351</v>
      </c>
      <c r="AY5" s="8">
        <f t="shared" ref="AY5:AY25" si="31">AX5/1728*100</f>
        <v>79.4857357357357</v>
      </c>
      <c r="AZ5" s="7">
        <f t="shared" si="20"/>
        <v>1.34247548040651</v>
      </c>
      <c r="BA5" s="7">
        <f t="shared" si="21"/>
        <v>2.20240348005752</v>
      </c>
      <c r="BB5" s="7">
        <f t="shared" si="22"/>
        <v>2.24171709353836</v>
      </c>
      <c r="BC5" s="7">
        <f t="shared" si="23"/>
        <v>9.64207450693937</v>
      </c>
      <c r="BE5" s="1"/>
      <c r="BF5" s="2">
        <v>2</v>
      </c>
      <c r="BG5" s="8">
        <v>995.01</v>
      </c>
      <c r="BH5" s="8">
        <f t="shared" ref="BH5:BL5" si="32">BG5/2039.76*100</f>
        <v>48.7807389104601</v>
      </c>
      <c r="BI5" s="8">
        <v>1121.206</v>
      </c>
      <c r="BJ5" s="8">
        <f t="shared" si="32"/>
        <v>54.9675452013962</v>
      </c>
      <c r="BK5" s="8">
        <v>353.5</v>
      </c>
      <c r="BL5" s="8">
        <f t="shared" si="32"/>
        <v>17.3304702514021</v>
      </c>
      <c r="BM5" s="8">
        <f t="shared" ref="BM5:BM36" si="33">H5/3.5</f>
        <v>1452</v>
      </c>
      <c r="BN5" s="8">
        <f t="shared" ref="BN5:BN25" si="34">BM5/2039.76*100</f>
        <v>71.1848452759148</v>
      </c>
      <c r="BO5" s="7">
        <f t="shared" ref="BO5:BO36" si="35">BM5/BG5</f>
        <v>1.45928181626315</v>
      </c>
      <c r="BP5" s="7">
        <f t="shared" ref="BP5:BP36" si="36">BM5/BI5</f>
        <v>1.29503409721318</v>
      </c>
      <c r="BQ5" s="7">
        <f t="shared" ref="BQ5:BQ36" si="37">BM5/BK5</f>
        <v>4.10749646393211</v>
      </c>
    </row>
    <row r="6" ht="20.4" spans="1:69">
      <c r="A6" s="1"/>
      <c r="B6" s="2">
        <v>3</v>
      </c>
      <c r="C6" s="2">
        <v>2688</v>
      </c>
      <c r="D6" s="2">
        <v>74368</v>
      </c>
      <c r="E6" s="2">
        <v>1920</v>
      </c>
      <c r="F6" s="2">
        <v>3537</v>
      </c>
      <c r="G6" s="2">
        <v>49.5</v>
      </c>
      <c r="H6" s="2">
        <v>4930</v>
      </c>
      <c r="I6" s="2">
        <v>69.2</v>
      </c>
      <c r="J6" s="5">
        <v>19.7</v>
      </c>
      <c r="K6" s="7">
        <f t="shared" si="0"/>
        <v>1.39383658467628</v>
      </c>
      <c r="L6" s="7">
        <f t="shared" si="1"/>
        <v>1.63815458065236</v>
      </c>
      <c r="M6" s="7">
        <f t="shared" si="2"/>
        <v>1.62652987011582</v>
      </c>
      <c r="N6" s="7">
        <f t="shared" si="3"/>
        <v>1.70254618717717</v>
      </c>
      <c r="O6" s="7">
        <f t="shared" si="4"/>
        <v>14.5718305529611</v>
      </c>
      <c r="P6" s="8">
        <f t="shared" si="5"/>
        <v>3009.484</v>
      </c>
      <c r="Q6" s="8">
        <f t="shared" si="25"/>
        <v>42.1354726702509</v>
      </c>
      <c r="R6" s="8">
        <f t="shared" si="6"/>
        <v>3030.9926</v>
      </c>
      <c r="S6" s="8">
        <f t="shared" si="26"/>
        <v>42.43661234319</v>
      </c>
      <c r="T6" s="8">
        <f t="shared" si="7"/>
        <v>2895.663</v>
      </c>
      <c r="U6" s="8">
        <f t="shared" si="27"/>
        <v>40.5418766801075</v>
      </c>
      <c r="V6" s="8">
        <f t="shared" si="8"/>
        <v>338.324</v>
      </c>
      <c r="W6" s="8">
        <f t="shared" si="28"/>
        <v>4.73683915770609</v>
      </c>
      <c r="X6" s="1"/>
      <c r="Y6" s="2">
        <v>3</v>
      </c>
      <c r="Z6" s="2">
        <v>349.94</v>
      </c>
      <c r="AA6" s="8">
        <f t="shared" si="9"/>
        <v>46.7334401709402</v>
      </c>
      <c r="AB6" s="2">
        <v>352.441</v>
      </c>
      <c r="AC6" s="8">
        <f t="shared" ref="AC6:AG6" si="38">AB6/748.8*100</f>
        <v>47.0674412393162</v>
      </c>
      <c r="AD6" s="2">
        <v>336.705</v>
      </c>
      <c r="AE6" s="8">
        <f t="shared" si="38"/>
        <v>44.9659455128205</v>
      </c>
      <c r="AF6" s="2">
        <v>39.34</v>
      </c>
      <c r="AG6" s="8">
        <f t="shared" si="38"/>
        <v>5.25373931623932</v>
      </c>
      <c r="AH6" s="8">
        <f t="shared" si="11"/>
        <v>518.947368421053</v>
      </c>
      <c r="AI6" s="8">
        <f t="shared" si="12"/>
        <v>69.3038686459739</v>
      </c>
      <c r="AJ6" s="7">
        <f t="shared" si="13"/>
        <v>1.48296098880109</v>
      </c>
      <c r="AK6" s="7">
        <f t="shared" si="14"/>
        <v>1.47243756663116</v>
      </c>
      <c r="AL6" s="7">
        <f t="shared" si="15"/>
        <v>1.54125233786565</v>
      </c>
      <c r="AM6" s="7">
        <f t="shared" si="16"/>
        <v>13.1913413426805</v>
      </c>
      <c r="AN6" s="1"/>
      <c r="AO6" s="2">
        <v>3</v>
      </c>
      <c r="AP6" s="8">
        <v>1082.46</v>
      </c>
      <c r="AQ6" s="8">
        <f t="shared" ref="AQ6:AU6" si="39">AP6/1728*100</f>
        <v>62.6423611111111</v>
      </c>
      <c r="AR6" s="8">
        <v>632.252</v>
      </c>
      <c r="AS6" s="8">
        <f t="shared" si="39"/>
        <v>36.5886574074074</v>
      </c>
      <c r="AT6" s="8">
        <v>604.497</v>
      </c>
      <c r="AU6" s="8">
        <f t="shared" si="39"/>
        <v>34.9824652777778</v>
      </c>
      <c r="AV6" s="8">
        <v>135.91</v>
      </c>
      <c r="AW6" s="8">
        <f t="shared" si="18"/>
        <v>15.7303240740741</v>
      </c>
      <c r="AX6" s="8">
        <f t="shared" si="19"/>
        <v>1332.43243243243</v>
      </c>
      <c r="AY6" s="8">
        <f t="shared" si="31"/>
        <v>77.1083583583584</v>
      </c>
      <c r="AZ6" s="7">
        <f t="shared" si="20"/>
        <v>1.23092994885024</v>
      </c>
      <c r="BA6" s="7">
        <f t="shared" si="21"/>
        <v>2.10743885734238</v>
      </c>
      <c r="BB6" s="7">
        <f t="shared" si="22"/>
        <v>2.2042002399225</v>
      </c>
      <c r="BC6" s="7">
        <f t="shared" si="23"/>
        <v>9.80378509625806</v>
      </c>
      <c r="BE6" s="1"/>
      <c r="BF6" s="2">
        <v>3</v>
      </c>
      <c r="BG6" s="8">
        <v>1005.12</v>
      </c>
      <c r="BH6" s="8">
        <f t="shared" ref="BH6:BL6" si="40">BG6/2039.76*100</f>
        <v>49.2763854571126</v>
      </c>
      <c r="BI6" s="8">
        <v>1115.654</v>
      </c>
      <c r="BJ6" s="8">
        <f t="shared" si="40"/>
        <v>54.6953563164294</v>
      </c>
      <c r="BK6" s="8">
        <v>362.11</v>
      </c>
      <c r="BL6" s="8">
        <f t="shared" si="40"/>
        <v>17.7525787347531</v>
      </c>
      <c r="BM6" s="8">
        <f t="shared" si="33"/>
        <v>1408.57142857143</v>
      </c>
      <c r="BN6" s="8">
        <f t="shared" si="34"/>
        <v>69.0557432527076</v>
      </c>
      <c r="BO6" s="7">
        <f t="shared" si="35"/>
        <v>1.40139627961978</v>
      </c>
      <c r="BP6" s="7">
        <f t="shared" si="36"/>
        <v>1.26255221472914</v>
      </c>
      <c r="BQ6" s="7">
        <f t="shared" si="37"/>
        <v>3.8898992808026</v>
      </c>
    </row>
    <row r="7" ht="20.4" spans="1:69">
      <c r="A7" s="1"/>
      <c r="B7" s="2">
        <v>4</v>
      </c>
      <c r="C7" s="2">
        <v>2688</v>
      </c>
      <c r="D7" s="2">
        <v>80128</v>
      </c>
      <c r="E7" s="2">
        <v>1920</v>
      </c>
      <c r="F7" s="2">
        <v>3651</v>
      </c>
      <c r="G7" s="2">
        <v>51.1</v>
      </c>
      <c r="H7" s="2">
        <v>5098</v>
      </c>
      <c r="I7" s="2">
        <v>71.3</v>
      </c>
      <c r="J7" s="5">
        <v>20.2</v>
      </c>
      <c r="K7" s="7">
        <f t="shared" si="0"/>
        <v>1.39632977266502</v>
      </c>
      <c r="L7" s="7">
        <f t="shared" si="1"/>
        <v>1.70029456652828</v>
      </c>
      <c r="M7" s="7">
        <f t="shared" si="2"/>
        <v>1.67986958043527</v>
      </c>
      <c r="N7" s="7">
        <f t="shared" si="3"/>
        <v>1.76914423668471</v>
      </c>
      <c r="O7" s="7">
        <f t="shared" si="4"/>
        <v>22.6342381700809</v>
      </c>
      <c r="P7" s="8">
        <f t="shared" si="5"/>
        <v>2998.304</v>
      </c>
      <c r="Q7" s="8">
        <f t="shared" si="25"/>
        <v>41.9789426523297</v>
      </c>
      <c r="R7" s="8">
        <f t="shared" si="6"/>
        <v>3034.7594</v>
      </c>
      <c r="S7" s="8">
        <f t="shared" si="26"/>
        <v>42.4893509184588</v>
      </c>
      <c r="T7" s="8">
        <f t="shared" si="7"/>
        <v>2881.6192</v>
      </c>
      <c r="U7" s="8">
        <f t="shared" si="27"/>
        <v>40.3452508960574</v>
      </c>
      <c r="V7" s="8">
        <f t="shared" si="8"/>
        <v>225.234</v>
      </c>
      <c r="W7" s="8">
        <f t="shared" si="28"/>
        <v>3.15347782258065</v>
      </c>
      <c r="X7" s="1"/>
      <c r="Y7" s="2">
        <v>4</v>
      </c>
      <c r="Z7" s="2">
        <v>348.64</v>
      </c>
      <c r="AA7" s="8">
        <f t="shared" si="9"/>
        <v>46.5598290598291</v>
      </c>
      <c r="AB7" s="2">
        <v>352.879</v>
      </c>
      <c r="AC7" s="8">
        <f t="shared" ref="AC7:AG7" si="41">AB7/748.8*100</f>
        <v>47.1259348290598</v>
      </c>
      <c r="AD7" s="2">
        <v>335.072</v>
      </c>
      <c r="AE7" s="8">
        <f t="shared" si="41"/>
        <v>44.7478632478633</v>
      </c>
      <c r="AF7" s="2">
        <v>26.19</v>
      </c>
      <c r="AG7" s="8">
        <f t="shared" si="41"/>
        <v>3.49759615384615</v>
      </c>
      <c r="AH7" s="8">
        <f t="shared" si="11"/>
        <v>536.631578947368</v>
      </c>
      <c r="AI7" s="8">
        <f t="shared" si="12"/>
        <v>71.6655420602789</v>
      </c>
      <c r="AJ7" s="7">
        <f t="shared" si="13"/>
        <v>1.53921402864665</v>
      </c>
      <c r="AK7" s="7">
        <f t="shared" si="14"/>
        <v>1.52072404123614</v>
      </c>
      <c r="AL7" s="7">
        <f t="shared" si="15"/>
        <v>1.60154109847247</v>
      </c>
      <c r="AM7" s="7">
        <f t="shared" si="16"/>
        <v>20.489941922389</v>
      </c>
      <c r="AN7" s="1"/>
      <c r="AO7" s="2">
        <v>4</v>
      </c>
      <c r="AP7" s="8">
        <v>1022.64</v>
      </c>
      <c r="AQ7" s="8">
        <f t="shared" ref="AQ7:AU7" si="42">AP7/1728*100</f>
        <v>59.1805555555556</v>
      </c>
      <c r="AR7" s="8">
        <v>619.833</v>
      </c>
      <c r="AS7" s="8">
        <f t="shared" si="42"/>
        <v>35.8699652777778</v>
      </c>
      <c r="AT7" s="8">
        <v>614.216</v>
      </c>
      <c r="AU7" s="8">
        <f t="shared" si="42"/>
        <v>35.5449074074074</v>
      </c>
      <c r="AV7" s="8">
        <v>143.72</v>
      </c>
      <c r="AW7" s="8">
        <f t="shared" si="18"/>
        <v>16.6342592592593</v>
      </c>
      <c r="AX7" s="8">
        <f t="shared" si="19"/>
        <v>1377.83783783784</v>
      </c>
      <c r="AY7" s="8">
        <f t="shared" si="31"/>
        <v>79.735985985986</v>
      </c>
      <c r="AZ7" s="7">
        <f t="shared" si="20"/>
        <v>1.34733419173691</v>
      </c>
      <c r="BA7" s="7">
        <f t="shared" si="21"/>
        <v>2.22291784696497</v>
      </c>
      <c r="BB7" s="7">
        <f t="shared" si="22"/>
        <v>2.24324641142178</v>
      </c>
      <c r="BC7" s="7">
        <f t="shared" si="23"/>
        <v>9.58695962870747</v>
      </c>
      <c r="BE7" s="1"/>
      <c r="BF7" s="2">
        <v>4</v>
      </c>
      <c r="BG7" s="8">
        <v>1006.42</v>
      </c>
      <c r="BH7" s="8">
        <f t="shared" ref="BH7:BL7" si="43">BG7/2039.76*100</f>
        <v>49.3401184453073</v>
      </c>
      <c r="BI7" s="8">
        <v>1115.803</v>
      </c>
      <c r="BJ7" s="8">
        <f t="shared" si="43"/>
        <v>54.702661097384</v>
      </c>
      <c r="BK7" s="8">
        <v>354.04</v>
      </c>
      <c r="BL7" s="8">
        <f t="shared" si="43"/>
        <v>17.3569439541907</v>
      </c>
      <c r="BM7" s="8">
        <f t="shared" si="33"/>
        <v>1456.57142857143</v>
      </c>
      <c r="BN7" s="8">
        <f t="shared" si="34"/>
        <v>71.4089612783577</v>
      </c>
      <c r="BO7" s="7">
        <f t="shared" si="35"/>
        <v>1.44727989166693</v>
      </c>
      <c r="BP7" s="7">
        <f t="shared" si="36"/>
        <v>1.30540196483737</v>
      </c>
      <c r="BQ7" s="7">
        <f t="shared" si="37"/>
        <v>4.1141436802944</v>
      </c>
    </row>
    <row r="8" ht="20.4" spans="1:69">
      <c r="A8" s="1"/>
      <c r="B8" s="2">
        <v>5</v>
      </c>
      <c r="C8" s="2">
        <v>2688</v>
      </c>
      <c r="D8" s="2">
        <v>31360</v>
      </c>
      <c r="E8" s="2">
        <v>1920</v>
      </c>
      <c r="F8" s="2">
        <v>3223</v>
      </c>
      <c r="G8" s="2">
        <v>45.1</v>
      </c>
      <c r="H8" s="2">
        <v>4477</v>
      </c>
      <c r="I8" s="2">
        <v>62.2</v>
      </c>
      <c r="J8" s="5">
        <v>17.1</v>
      </c>
      <c r="K8" s="7">
        <f t="shared" si="0"/>
        <v>1.38907849829352</v>
      </c>
      <c r="L8" s="7">
        <f t="shared" si="1"/>
        <v>1.50287651303108</v>
      </c>
      <c r="M8" s="7">
        <f t="shared" si="2"/>
        <v>1.47720381189194</v>
      </c>
      <c r="N8" s="7">
        <f t="shared" si="3"/>
        <v>1.54306690423762</v>
      </c>
      <c r="O8" s="7">
        <f t="shared" si="4"/>
        <v>14.2781512712243</v>
      </c>
      <c r="P8" s="8">
        <f t="shared" si="5"/>
        <v>2978.954</v>
      </c>
      <c r="Q8" s="8">
        <f t="shared" si="25"/>
        <v>41.7080253136201</v>
      </c>
      <c r="R8" s="8">
        <f t="shared" si="6"/>
        <v>3030.726</v>
      </c>
      <c r="S8" s="8">
        <f t="shared" si="26"/>
        <v>42.4328797043011</v>
      </c>
      <c r="T8" s="8">
        <f t="shared" si="7"/>
        <v>2901.3648</v>
      </c>
      <c r="U8" s="8">
        <f t="shared" si="27"/>
        <v>40.6217069892473</v>
      </c>
      <c r="V8" s="8">
        <f t="shared" si="8"/>
        <v>313.556</v>
      </c>
      <c r="W8" s="8">
        <f t="shared" si="28"/>
        <v>4.39006496415771</v>
      </c>
      <c r="X8" s="1"/>
      <c r="Y8" s="2">
        <v>5</v>
      </c>
      <c r="Z8" s="2">
        <v>346.39</v>
      </c>
      <c r="AA8" s="8">
        <f t="shared" si="9"/>
        <v>46.2593482905983</v>
      </c>
      <c r="AB8" s="2">
        <v>352.41</v>
      </c>
      <c r="AC8" s="8">
        <f t="shared" ref="AC8:AG8" si="44">AB8/748.8*100</f>
        <v>47.0633012820513</v>
      </c>
      <c r="AD8" s="2">
        <v>337.368</v>
      </c>
      <c r="AE8" s="8">
        <f t="shared" si="44"/>
        <v>45.0544871794872</v>
      </c>
      <c r="AF8" s="2">
        <v>36.46</v>
      </c>
      <c r="AG8" s="8">
        <f t="shared" si="44"/>
        <v>4.86912393162393</v>
      </c>
      <c r="AH8" s="8">
        <f t="shared" si="11"/>
        <v>471.263157894737</v>
      </c>
      <c r="AI8" s="8">
        <f t="shared" si="12"/>
        <v>62.9357849752587</v>
      </c>
      <c r="AJ8" s="7">
        <f t="shared" si="13"/>
        <v>1.36049873811235</v>
      </c>
      <c r="AK8" s="7">
        <f t="shared" si="14"/>
        <v>1.33725818760744</v>
      </c>
      <c r="AL8" s="7">
        <f t="shared" si="15"/>
        <v>1.396881618573</v>
      </c>
      <c r="AM8" s="7">
        <f t="shared" si="16"/>
        <v>12.9254843086872</v>
      </c>
      <c r="AN8" s="1"/>
      <c r="AO8" s="2">
        <v>5</v>
      </c>
      <c r="AP8" s="8">
        <v>1073.52</v>
      </c>
      <c r="AQ8" s="8">
        <f t="shared" ref="AQ8:AU8" si="45">AP8/1728*100</f>
        <v>62.125</v>
      </c>
      <c r="AR8" s="8">
        <v>626.234</v>
      </c>
      <c r="AS8" s="8">
        <f t="shared" si="45"/>
        <v>36.2403935185185</v>
      </c>
      <c r="AT8" s="8">
        <v>604.718</v>
      </c>
      <c r="AU8" s="8">
        <f t="shared" si="45"/>
        <v>34.9952546296296</v>
      </c>
      <c r="AV8" s="8">
        <v>134.45</v>
      </c>
      <c r="AW8" s="8">
        <f t="shared" si="18"/>
        <v>15.5613425925926</v>
      </c>
      <c r="AX8" s="8">
        <f t="shared" si="19"/>
        <v>1210</v>
      </c>
      <c r="AY8" s="8">
        <f t="shared" si="31"/>
        <v>70.0231481481482</v>
      </c>
      <c r="AZ8" s="7">
        <f t="shared" si="20"/>
        <v>1.12713316938669</v>
      </c>
      <c r="BA8" s="7">
        <f t="shared" si="21"/>
        <v>1.9321850937509</v>
      </c>
      <c r="BB8" s="7">
        <f t="shared" si="22"/>
        <v>2.00093266613529</v>
      </c>
      <c r="BC8" s="7">
        <f t="shared" si="23"/>
        <v>8.99962811454072</v>
      </c>
      <c r="BE8" s="1"/>
      <c r="BF8" s="2">
        <v>5</v>
      </c>
      <c r="BG8" s="8">
        <v>993.66</v>
      </c>
      <c r="BH8" s="8">
        <f t="shared" ref="BH8:BL8" si="46">BG8/2039.76*100</f>
        <v>48.7145546534886</v>
      </c>
      <c r="BI8" s="8">
        <v>1148.557</v>
      </c>
      <c r="BJ8" s="8">
        <f t="shared" si="46"/>
        <v>56.308438247637</v>
      </c>
      <c r="BK8" s="8">
        <v>367.95</v>
      </c>
      <c r="BL8" s="8">
        <f t="shared" si="46"/>
        <v>18.0388869278739</v>
      </c>
      <c r="BM8" s="8">
        <f t="shared" si="33"/>
        <v>1279.14285714286</v>
      </c>
      <c r="BN8" s="8">
        <f t="shared" si="34"/>
        <v>62.710458933544</v>
      </c>
      <c r="BO8" s="7">
        <f t="shared" si="35"/>
        <v>1.28730436682855</v>
      </c>
      <c r="BP8" s="7">
        <f t="shared" si="36"/>
        <v>1.11369558249426</v>
      </c>
      <c r="BQ8" s="7">
        <f t="shared" si="37"/>
        <v>3.47640401452061</v>
      </c>
    </row>
    <row r="9" ht="20.4" spans="1:69">
      <c r="A9" s="1"/>
      <c r="B9" s="2">
        <v>6</v>
      </c>
      <c r="C9" s="2">
        <v>2688</v>
      </c>
      <c r="D9" s="2">
        <v>47104</v>
      </c>
      <c r="E9" s="2">
        <v>1920</v>
      </c>
      <c r="F9" s="2">
        <v>3614</v>
      </c>
      <c r="G9" s="2">
        <v>50.6</v>
      </c>
      <c r="H9" s="2">
        <v>4705</v>
      </c>
      <c r="I9" s="2">
        <v>65.8</v>
      </c>
      <c r="J9" s="5">
        <v>15.2</v>
      </c>
      <c r="K9" s="7">
        <f t="shared" si="0"/>
        <v>1.30188157166574</v>
      </c>
      <c r="L9" s="7">
        <f t="shared" si="1"/>
        <v>1.59071038657812</v>
      </c>
      <c r="M9" s="7">
        <f t="shared" si="2"/>
        <v>1.54137196322696</v>
      </c>
      <c r="N9" s="7">
        <f t="shared" si="3"/>
        <v>1.66374124025209</v>
      </c>
      <c r="O9" s="7">
        <f t="shared" si="4"/>
        <v>22.9581629566015</v>
      </c>
      <c r="P9" s="8">
        <f t="shared" si="5"/>
        <v>2957.798</v>
      </c>
      <c r="Q9" s="8">
        <f t="shared" si="25"/>
        <v>41.4118223566308</v>
      </c>
      <c r="R9" s="8">
        <f t="shared" si="6"/>
        <v>3052.4754</v>
      </c>
      <c r="S9" s="8">
        <f t="shared" si="26"/>
        <v>42.7373907930108</v>
      </c>
      <c r="T9" s="8">
        <f t="shared" si="7"/>
        <v>2827.9638</v>
      </c>
      <c r="U9" s="8">
        <f t="shared" si="27"/>
        <v>39.5940272177419</v>
      </c>
      <c r="V9" s="8">
        <f t="shared" si="8"/>
        <v>204.938</v>
      </c>
      <c r="W9" s="8">
        <f t="shared" si="28"/>
        <v>2.86931563620072</v>
      </c>
      <c r="X9" s="1"/>
      <c r="Y9" s="2">
        <v>6</v>
      </c>
      <c r="Z9" s="2">
        <v>343.93</v>
      </c>
      <c r="AA9" s="8">
        <f t="shared" si="9"/>
        <v>45.9308226495727</v>
      </c>
      <c r="AB9" s="2">
        <v>354.939</v>
      </c>
      <c r="AC9" s="8">
        <f t="shared" ref="AC9:AG9" si="47">AB9/748.8*100</f>
        <v>47.4010416666667</v>
      </c>
      <c r="AD9" s="2">
        <v>328.833</v>
      </c>
      <c r="AE9" s="8">
        <f t="shared" si="47"/>
        <v>43.9146634615385</v>
      </c>
      <c r="AF9" s="2">
        <v>23.83</v>
      </c>
      <c r="AG9" s="8">
        <f t="shared" si="47"/>
        <v>3.18242521367521</v>
      </c>
      <c r="AH9" s="8">
        <f t="shared" si="11"/>
        <v>495.263157894737</v>
      </c>
      <c r="AI9" s="8">
        <f t="shared" si="12"/>
        <v>66.1409131803869</v>
      </c>
      <c r="AJ9" s="7">
        <f t="shared" si="13"/>
        <v>1.44001150784967</v>
      </c>
      <c r="AK9" s="7">
        <f t="shared" si="14"/>
        <v>1.39534725092125</v>
      </c>
      <c r="AL9" s="7">
        <f t="shared" si="15"/>
        <v>1.50612364907031</v>
      </c>
      <c r="AM9" s="7">
        <f t="shared" si="16"/>
        <v>20.783179097555</v>
      </c>
      <c r="AN9" s="1"/>
      <c r="AO9" s="2">
        <v>6</v>
      </c>
      <c r="AP9" s="8">
        <v>1042.98</v>
      </c>
      <c r="AQ9" s="8">
        <f t="shared" ref="AQ9:AU9" si="48">AP9/1728*100</f>
        <v>60.3576388888889</v>
      </c>
      <c r="AR9" s="8">
        <v>636.349</v>
      </c>
      <c r="AS9" s="8">
        <f t="shared" si="48"/>
        <v>36.8257523148148</v>
      </c>
      <c r="AT9" s="8">
        <v>607.961</v>
      </c>
      <c r="AU9" s="8">
        <f t="shared" si="48"/>
        <v>35.1829282407407</v>
      </c>
      <c r="AV9" s="8">
        <v>151.23</v>
      </c>
      <c r="AW9" s="8">
        <f t="shared" si="18"/>
        <v>17.5034722222222</v>
      </c>
      <c r="AX9" s="8">
        <f t="shared" si="19"/>
        <v>1271.62162162162</v>
      </c>
      <c r="AY9" s="8">
        <f t="shared" si="31"/>
        <v>73.5892142142142</v>
      </c>
      <c r="AZ9" s="7">
        <f t="shared" si="20"/>
        <v>1.21921956472955</v>
      </c>
      <c r="BA9" s="7">
        <f t="shared" si="21"/>
        <v>1.99830850935826</v>
      </c>
      <c r="BB9" s="7">
        <f t="shared" si="22"/>
        <v>2.09161709652695</v>
      </c>
      <c r="BC9" s="7">
        <f t="shared" si="23"/>
        <v>8.40852755155473</v>
      </c>
      <c r="BE9" s="1"/>
      <c r="BF9" s="2">
        <v>6</v>
      </c>
      <c r="BG9" s="8">
        <v>966.53</v>
      </c>
      <c r="BH9" s="8">
        <f t="shared" ref="BH9:BL9" si="49">BG9/2039.76*100</f>
        <v>47.384496215241</v>
      </c>
      <c r="BI9" s="8">
        <v>1143.635</v>
      </c>
      <c r="BJ9" s="8">
        <f t="shared" si="49"/>
        <v>56.0671353492568</v>
      </c>
      <c r="BK9" s="8">
        <v>359.96</v>
      </c>
      <c r="BL9" s="8">
        <f t="shared" si="49"/>
        <v>17.6471741773542</v>
      </c>
      <c r="BM9" s="8">
        <f t="shared" si="33"/>
        <v>1344.28571428571</v>
      </c>
      <c r="BN9" s="8">
        <f t="shared" si="34"/>
        <v>65.9041119683548</v>
      </c>
      <c r="BO9" s="7">
        <f t="shared" si="35"/>
        <v>1.39083702966873</v>
      </c>
      <c r="BP9" s="7">
        <f t="shared" si="36"/>
        <v>1.1754499593714</v>
      </c>
      <c r="BQ9" s="7">
        <f t="shared" si="37"/>
        <v>3.73454193323068</v>
      </c>
    </row>
    <row r="10" ht="20.4" spans="1:69">
      <c r="A10" s="1"/>
      <c r="B10" s="2">
        <v>7</v>
      </c>
      <c r="C10" s="2">
        <v>2688</v>
      </c>
      <c r="D10" s="2">
        <v>44416</v>
      </c>
      <c r="E10" s="2">
        <v>1920</v>
      </c>
      <c r="F10" s="2">
        <v>3525</v>
      </c>
      <c r="G10" s="2">
        <v>49.3</v>
      </c>
      <c r="H10" s="2">
        <v>4285</v>
      </c>
      <c r="I10" s="2">
        <v>56</v>
      </c>
      <c r="J10" s="5">
        <v>6.7</v>
      </c>
      <c r="K10" s="7">
        <f t="shared" si="0"/>
        <v>1.21560283687943</v>
      </c>
      <c r="L10" s="7">
        <f t="shared" si="1"/>
        <v>1.43676522954378</v>
      </c>
      <c r="M10" s="7">
        <f t="shared" si="2"/>
        <v>1.41642094986081</v>
      </c>
      <c r="N10" s="7">
        <f t="shared" si="3"/>
        <v>1.49106066504716</v>
      </c>
      <c r="O10" s="7">
        <f t="shared" si="4"/>
        <v>13.4992092645215</v>
      </c>
      <c r="P10" s="8">
        <f t="shared" si="5"/>
        <v>2982.394</v>
      </c>
      <c r="Q10" s="8">
        <f t="shared" si="25"/>
        <v>41.7561883960574</v>
      </c>
      <c r="R10" s="8">
        <f t="shared" si="6"/>
        <v>3025.2306</v>
      </c>
      <c r="S10" s="8">
        <f t="shared" si="26"/>
        <v>42.3559391801075</v>
      </c>
      <c r="T10" s="8">
        <f t="shared" si="7"/>
        <v>2873.7932</v>
      </c>
      <c r="U10" s="8">
        <f t="shared" si="27"/>
        <v>40.2356798835125</v>
      </c>
      <c r="V10" s="8">
        <f t="shared" si="8"/>
        <v>317.426</v>
      </c>
      <c r="W10" s="8">
        <f t="shared" si="28"/>
        <v>4.44424843189964</v>
      </c>
      <c r="X10" s="1"/>
      <c r="Y10" s="2">
        <v>7</v>
      </c>
      <c r="Z10" s="2">
        <v>346.79</v>
      </c>
      <c r="AA10" s="8">
        <f t="shared" si="9"/>
        <v>46.3127670940171</v>
      </c>
      <c r="AB10" s="2">
        <v>351.771</v>
      </c>
      <c r="AC10" s="8">
        <f t="shared" ref="AC10:AG10" si="50">AB10/748.8*100</f>
        <v>46.9779647435898</v>
      </c>
      <c r="AD10" s="2">
        <v>334.162</v>
      </c>
      <c r="AE10" s="8">
        <f t="shared" si="50"/>
        <v>44.6263354700855</v>
      </c>
      <c r="AF10" s="2">
        <v>36.91</v>
      </c>
      <c r="AG10" s="8">
        <f t="shared" si="50"/>
        <v>4.92922008547009</v>
      </c>
      <c r="AH10" s="8">
        <f t="shared" si="11"/>
        <v>451.052631578947</v>
      </c>
      <c r="AI10" s="8">
        <f t="shared" si="12"/>
        <v>60.2367296446244</v>
      </c>
      <c r="AJ10" s="7">
        <f t="shared" si="13"/>
        <v>1.30065062885016</v>
      </c>
      <c r="AK10" s="7">
        <f t="shared" si="14"/>
        <v>1.28223370197926</v>
      </c>
      <c r="AL10" s="7">
        <f t="shared" si="15"/>
        <v>1.34980228625322</v>
      </c>
      <c r="AM10" s="7">
        <f t="shared" si="16"/>
        <v>12.2203368078826</v>
      </c>
      <c r="AN10" s="1"/>
      <c r="AO10" s="2">
        <v>7</v>
      </c>
      <c r="AP10" s="8">
        <v>1021.03</v>
      </c>
      <c r="AQ10" s="8">
        <f t="shared" ref="AQ10:AU10" si="51">AP10/1728*100</f>
        <v>59.0873842592593</v>
      </c>
      <c r="AR10" s="8">
        <v>625.681</v>
      </c>
      <c r="AS10" s="8">
        <f t="shared" si="51"/>
        <v>36.2083912037037</v>
      </c>
      <c r="AT10" s="8">
        <v>608.998</v>
      </c>
      <c r="AU10" s="8">
        <f t="shared" si="51"/>
        <v>35.2429398148148</v>
      </c>
      <c r="AV10" s="8">
        <v>134.31</v>
      </c>
      <c r="AW10" s="8">
        <f t="shared" si="18"/>
        <v>15.5451388888889</v>
      </c>
      <c r="AX10" s="8">
        <f t="shared" si="19"/>
        <v>1158.10810810811</v>
      </c>
      <c r="AY10" s="8">
        <f t="shared" si="31"/>
        <v>67.0201451451452</v>
      </c>
      <c r="AZ10" s="7">
        <f t="shared" si="20"/>
        <v>1.13425473111281</v>
      </c>
      <c r="BA10" s="7">
        <f t="shared" si="21"/>
        <v>1.85095617112891</v>
      </c>
      <c r="BB10" s="7">
        <f t="shared" si="22"/>
        <v>1.90166159512528</v>
      </c>
      <c r="BC10" s="7">
        <f t="shared" si="23"/>
        <v>8.62264990029118</v>
      </c>
      <c r="BE10" s="1"/>
      <c r="BF10" s="2">
        <v>7</v>
      </c>
      <c r="BG10" s="8">
        <v>995.35</v>
      </c>
      <c r="BH10" s="8">
        <f t="shared" ref="BH10:BL10" si="52">BG10/2039.76*100</f>
        <v>48.7974075381417</v>
      </c>
      <c r="BI10" s="8">
        <v>1147.93</v>
      </c>
      <c r="BJ10" s="8">
        <f t="shared" si="52"/>
        <v>56.2776993371769</v>
      </c>
      <c r="BK10" s="8">
        <v>365.04</v>
      </c>
      <c r="BL10" s="8">
        <f t="shared" si="52"/>
        <v>17.8962230850688</v>
      </c>
      <c r="BM10" s="8">
        <f t="shared" si="33"/>
        <v>1224.28571428571</v>
      </c>
      <c r="BN10" s="8">
        <f t="shared" si="34"/>
        <v>60.0210669042296</v>
      </c>
      <c r="BO10" s="7">
        <f t="shared" si="35"/>
        <v>1.23000523864542</v>
      </c>
      <c r="BP10" s="7">
        <f t="shared" si="36"/>
        <v>1.0665160020957</v>
      </c>
      <c r="BQ10" s="7">
        <f t="shared" si="37"/>
        <v>3.35383989230143</v>
      </c>
    </row>
    <row r="11" ht="20.4" spans="1:69">
      <c r="A11" s="1"/>
      <c r="B11" s="2">
        <v>8</v>
      </c>
      <c r="C11" s="2">
        <v>2688</v>
      </c>
      <c r="D11" s="2">
        <v>83968</v>
      </c>
      <c r="E11" s="2">
        <v>1920</v>
      </c>
      <c r="F11" s="2">
        <v>3606</v>
      </c>
      <c r="G11" s="2">
        <v>50.4</v>
      </c>
      <c r="H11" s="2">
        <v>5026</v>
      </c>
      <c r="I11" s="2">
        <v>70.3</v>
      </c>
      <c r="J11" s="5">
        <v>19.9</v>
      </c>
      <c r="K11" s="7">
        <f t="shared" si="0"/>
        <v>1.39378813089296</v>
      </c>
      <c r="L11" s="7">
        <f t="shared" si="1"/>
        <v>1.69357425713215</v>
      </c>
      <c r="M11" s="7">
        <f t="shared" si="2"/>
        <v>1.65275819891053</v>
      </c>
      <c r="N11" s="7">
        <f t="shared" si="3"/>
        <v>1.73845633517217</v>
      </c>
      <c r="O11" s="7">
        <f t="shared" si="4"/>
        <v>24.0007640513825</v>
      </c>
      <c r="P11" s="8">
        <f t="shared" si="5"/>
        <v>2967.688</v>
      </c>
      <c r="Q11" s="8">
        <f t="shared" si="25"/>
        <v>41.550291218638</v>
      </c>
      <c r="R11" s="8">
        <f t="shared" si="6"/>
        <v>3040.9772</v>
      </c>
      <c r="S11" s="8">
        <f t="shared" si="26"/>
        <v>42.5764056899642</v>
      </c>
      <c r="T11" s="8">
        <f t="shared" si="7"/>
        <v>2891.0706</v>
      </c>
      <c r="U11" s="8">
        <f t="shared" si="27"/>
        <v>40.4775789650538</v>
      </c>
      <c r="V11" s="8">
        <f t="shared" si="8"/>
        <v>209.41</v>
      </c>
      <c r="W11" s="8">
        <f t="shared" si="28"/>
        <v>2.93192764336918</v>
      </c>
      <c r="X11" s="1"/>
      <c r="Y11" s="2">
        <v>8</v>
      </c>
      <c r="Z11" s="2">
        <v>345.08</v>
      </c>
      <c r="AA11" s="8">
        <f t="shared" si="9"/>
        <v>46.0844017094017</v>
      </c>
      <c r="AB11" s="2">
        <v>353.602</v>
      </c>
      <c r="AC11" s="8">
        <f t="shared" ref="AC11:AG11" si="53">AB11/748.8*100</f>
        <v>47.2224893162393</v>
      </c>
      <c r="AD11" s="2">
        <v>336.171</v>
      </c>
      <c r="AE11" s="8">
        <f t="shared" si="53"/>
        <v>44.8946314102564</v>
      </c>
      <c r="AF11" s="2">
        <v>24.35</v>
      </c>
      <c r="AG11" s="8">
        <f t="shared" si="53"/>
        <v>3.25186965811966</v>
      </c>
      <c r="AH11" s="8">
        <f t="shared" si="11"/>
        <v>529.052631578947</v>
      </c>
      <c r="AI11" s="8">
        <f t="shared" si="12"/>
        <v>70.6533963112911</v>
      </c>
      <c r="AJ11" s="7">
        <f t="shared" si="13"/>
        <v>1.53313038014068</v>
      </c>
      <c r="AK11" s="7">
        <f t="shared" si="14"/>
        <v>1.49618110638217</v>
      </c>
      <c r="AL11" s="7">
        <f t="shared" si="15"/>
        <v>1.57376047184007</v>
      </c>
      <c r="AM11" s="7">
        <f t="shared" si="16"/>
        <v>21.727007457041</v>
      </c>
      <c r="AN11" s="1"/>
      <c r="AO11" s="2">
        <v>8</v>
      </c>
      <c r="AP11" s="8">
        <v>1053.3</v>
      </c>
      <c r="AQ11" s="8">
        <f t="shared" ref="AQ11:AU11" si="54">AP11/1728*100</f>
        <v>60.9548611111111</v>
      </c>
      <c r="AR11" s="8">
        <v>615.049</v>
      </c>
      <c r="AS11" s="8">
        <f t="shared" si="54"/>
        <v>35.5931134259259</v>
      </c>
      <c r="AT11" s="8">
        <v>604.845</v>
      </c>
      <c r="AU11" s="8">
        <f t="shared" si="54"/>
        <v>35.0026041666667</v>
      </c>
      <c r="AV11" s="8">
        <v>150.04</v>
      </c>
      <c r="AW11" s="8">
        <f t="shared" si="18"/>
        <v>17.3657407407407</v>
      </c>
      <c r="AX11" s="8">
        <f t="shared" si="19"/>
        <v>1358.37837837838</v>
      </c>
      <c r="AY11" s="8">
        <f t="shared" si="31"/>
        <v>78.6098598598599</v>
      </c>
      <c r="AZ11" s="7">
        <f t="shared" si="20"/>
        <v>1.28964053771801</v>
      </c>
      <c r="BA11" s="7">
        <f t="shared" si="21"/>
        <v>2.20856936338142</v>
      </c>
      <c r="BB11" s="7">
        <f t="shared" si="22"/>
        <v>2.24582889563174</v>
      </c>
      <c r="BC11" s="7">
        <f t="shared" si="23"/>
        <v>9.05344160476125</v>
      </c>
      <c r="BE11" s="1"/>
      <c r="BF11" s="2">
        <v>8</v>
      </c>
      <c r="BG11" s="8">
        <v>965.94</v>
      </c>
      <c r="BH11" s="8">
        <f t="shared" ref="BH11:BL11" si="55">BG11/2039.76*100</f>
        <v>47.3555712436757</v>
      </c>
      <c r="BI11" s="8">
        <v>1114.655</v>
      </c>
      <c r="BJ11" s="8">
        <f t="shared" si="55"/>
        <v>54.6463799662705</v>
      </c>
      <c r="BK11" s="8">
        <v>364.53</v>
      </c>
      <c r="BL11" s="8">
        <f t="shared" si="55"/>
        <v>17.8712201435463</v>
      </c>
      <c r="BM11" s="8">
        <f t="shared" si="33"/>
        <v>1436</v>
      </c>
      <c r="BN11" s="8">
        <f t="shared" si="34"/>
        <v>70.4004392673648</v>
      </c>
      <c r="BO11" s="7">
        <f t="shared" si="35"/>
        <v>1.4866347806282</v>
      </c>
      <c r="BP11" s="7">
        <f t="shared" si="36"/>
        <v>1.28829099586868</v>
      </c>
      <c r="BQ11" s="7">
        <f t="shared" si="37"/>
        <v>3.9393191232546</v>
      </c>
    </row>
    <row r="12" ht="20.4" spans="1:69">
      <c r="A12" s="1"/>
      <c r="B12" s="2">
        <v>9</v>
      </c>
      <c r="C12" s="2">
        <v>2688</v>
      </c>
      <c r="D12" s="2">
        <v>82048</v>
      </c>
      <c r="E12" s="2">
        <v>1920</v>
      </c>
      <c r="F12" s="2">
        <v>3640</v>
      </c>
      <c r="G12" s="2">
        <v>50.9</v>
      </c>
      <c r="H12" s="2">
        <v>5018</v>
      </c>
      <c r="I12" s="2">
        <v>70.2</v>
      </c>
      <c r="J12" s="5">
        <v>19.3</v>
      </c>
      <c r="K12" s="7">
        <f t="shared" si="0"/>
        <v>1.37857142857143</v>
      </c>
      <c r="L12" s="7">
        <f t="shared" si="1"/>
        <v>1.67944153381407</v>
      </c>
      <c r="M12" s="7">
        <f t="shared" si="2"/>
        <v>1.65522981371705</v>
      </c>
      <c r="N12" s="7">
        <f t="shared" si="3"/>
        <v>1.77583649224376</v>
      </c>
      <c r="O12" s="7">
        <f t="shared" si="4"/>
        <v>17.5221733361268</v>
      </c>
      <c r="P12" s="8">
        <f t="shared" si="5"/>
        <v>2987.898</v>
      </c>
      <c r="Q12" s="8">
        <f t="shared" si="25"/>
        <v>41.833249327957</v>
      </c>
      <c r="R12" s="8">
        <f t="shared" si="6"/>
        <v>3031.6032</v>
      </c>
      <c r="S12" s="8">
        <f t="shared" si="26"/>
        <v>42.4451612903226</v>
      </c>
      <c r="T12" s="8">
        <f t="shared" si="7"/>
        <v>2825.7106</v>
      </c>
      <c r="U12" s="8">
        <f t="shared" si="27"/>
        <v>39.5624803987455</v>
      </c>
      <c r="V12" s="8">
        <f t="shared" si="8"/>
        <v>286.38</v>
      </c>
      <c r="W12" s="8">
        <f t="shared" si="28"/>
        <v>4.00957661290323</v>
      </c>
      <c r="X12" s="1"/>
      <c r="Y12" s="2">
        <v>9</v>
      </c>
      <c r="Z12" s="2">
        <v>347.43</v>
      </c>
      <c r="AA12" s="8">
        <f t="shared" si="9"/>
        <v>46.3982371794872</v>
      </c>
      <c r="AB12" s="2">
        <v>352.512</v>
      </c>
      <c r="AC12" s="8">
        <f t="shared" ref="AC12:AG12" si="56">AB12/748.8*100</f>
        <v>47.0769230769231</v>
      </c>
      <c r="AD12" s="2">
        <v>328.571</v>
      </c>
      <c r="AE12" s="8">
        <f t="shared" si="56"/>
        <v>43.8796741452992</v>
      </c>
      <c r="AF12" s="2">
        <v>33.3</v>
      </c>
      <c r="AG12" s="8">
        <f t="shared" si="56"/>
        <v>4.44711538461539</v>
      </c>
      <c r="AH12" s="8">
        <f t="shared" si="11"/>
        <v>528.210526315789</v>
      </c>
      <c r="AI12" s="8">
        <f t="shared" si="12"/>
        <v>70.5409356725146</v>
      </c>
      <c r="AJ12" s="7">
        <f t="shared" si="13"/>
        <v>1.52033654640011</v>
      </c>
      <c r="AK12" s="7">
        <f t="shared" si="14"/>
        <v>1.49841856820701</v>
      </c>
      <c r="AL12" s="7">
        <f t="shared" si="15"/>
        <v>1.6075993508733</v>
      </c>
      <c r="AM12" s="7">
        <f t="shared" si="16"/>
        <v>15.8621779674411</v>
      </c>
      <c r="AN12" s="1"/>
      <c r="AO12" s="2">
        <v>9</v>
      </c>
      <c r="AP12" s="8">
        <v>1013.08</v>
      </c>
      <c r="AQ12" s="8">
        <f t="shared" ref="AQ12:AU12" si="57">AP12/1728*100</f>
        <v>58.6273148148148</v>
      </c>
      <c r="AR12" s="8">
        <v>622.692</v>
      </c>
      <c r="AS12" s="8">
        <f t="shared" si="57"/>
        <v>36.0354166666667</v>
      </c>
      <c r="AT12" s="8">
        <v>602.005</v>
      </c>
      <c r="AU12" s="8">
        <f t="shared" si="57"/>
        <v>34.8382523148148</v>
      </c>
      <c r="AV12" s="8">
        <v>137.37</v>
      </c>
      <c r="AW12" s="8">
        <f t="shared" si="18"/>
        <v>15.8993055555556</v>
      </c>
      <c r="AX12" s="8">
        <f t="shared" si="19"/>
        <v>1356.21621621622</v>
      </c>
      <c r="AY12" s="8">
        <f t="shared" si="31"/>
        <v>78.4847347347347</v>
      </c>
      <c r="AZ12" s="7">
        <f t="shared" si="20"/>
        <v>1.33870594248847</v>
      </c>
      <c r="BA12" s="7">
        <f t="shared" si="21"/>
        <v>2.17798882307179</v>
      </c>
      <c r="BB12" s="7">
        <f t="shared" si="22"/>
        <v>2.25283214627157</v>
      </c>
      <c r="BC12" s="7">
        <f t="shared" si="23"/>
        <v>9.8727248760007</v>
      </c>
      <c r="BE12" s="1"/>
      <c r="BF12" s="2">
        <v>9</v>
      </c>
      <c r="BG12" s="8">
        <v>1002.13</v>
      </c>
      <c r="BH12" s="8">
        <f t="shared" ref="BH12:BL12" si="58">BG12/2039.76*100</f>
        <v>49.1297995842648</v>
      </c>
      <c r="BI12" s="8">
        <v>1129.419</v>
      </c>
      <c r="BJ12" s="8">
        <f t="shared" si="58"/>
        <v>55.3701906106601</v>
      </c>
      <c r="BK12" s="8">
        <v>355.19</v>
      </c>
      <c r="BL12" s="8">
        <f t="shared" si="58"/>
        <v>17.4133231360552</v>
      </c>
      <c r="BM12" s="8">
        <f t="shared" si="33"/>
        <v>1433.71428571429</v>
      </c>
      <c r="BN12" s="8">
        <f t="shared" si="34"/>
        <v>70.2883812661434</v>
      </c>
      <c r="BO12" s="7">
        <f t="shared" si="35"/>
        <v>1.43066696507867</v>
      </c>
      <c r="BP12" s="7">
        <f t="shared" si="36"/>
        <v>1.2694263915467</v>
      </c>
      <c r="BQ12" s="7">
        <f t="shared" si="37"/>
        <v>4.03647142575603</v>
      </c>
    </row>
    <row r="13" ht="20.4" spans="1:69">
      <c r="A13" s="1"/>
      <c r="B13" s="2">
        <v>10</v>
      </c>
      <c r="C13" s="2">
        <v>2688</v>
      </c>
      <c r="D13" s="2">
        <v>79744</v>
      </c>
      <c r="E13" s="2">
        <v>1920</v>
      </c>
      <c r="F13" s="2">
        <v>3625</v>
      </c>
      <c r="G13" s="2">
        <v>50.7</v>
      </c>
      <c r="H13" s="2">
        <v>4736</v>
      </c>
      <c r="I13" s="2">
        <v>66.3</v>
      </c>
      <c r="J13" s="5">
        <v>15.6</v>
      </c>
      <c r="K13" s="7">
        <f t="shared" si="0"/>
        <v>1.30648275862069</v>
      </c>
      <c r="L13" s="7">
        <f t="shared" si="1"/>
        <v>1.58369330923016</v>
      </c>
      <c r="M13" s="7">
        <f t="shared" si="2"/>
        <v>1.56728265684591</v>
      </c>
      <c r="N13" s="7">
        <f t="shared" si="3"/>
        <v>1.63830829724281</v>
      </c>
      <c r="O13" s="7">
        <f t="shared" si="4"/>
        <v>13.1745855124068</v>
      </c>
      <c r="P13" s="8">
        <f t="shared" si="5"/>
        <v>2990.478</v>
      </c>
      <c r="Q13" s="8">
        <f t="shared" si="25"/>
        <v>41.8693716397849</v>
      </c>
      <c r="R13" s="8">
        <f t="shared" si="6"/>
        <v>3021.7906</v>
      </c>
      <c r="S13" s="8">
        <f t="shared" si="26"/>
        <v>42.3077760976702</v>
      </c>
      <c r="T13" s="8">
        <f t="shared" si="7"/>
        <v>2890.7868</v>
      </c>
      <c r="U13" s="8">
        <f t="shared" si="27"/>
        <v>40.4736055107527</v>
      </c>
      <c r="V13" s="8">
        <f t="shared" si="8"/>
        <v>359.48</v>
      </c>
      <c r="W13" s="8">
        <f t="shared" si="28"/>
        <v>5.03304211469534</v>
      </c>
      <c r="X13" s="1"/>
      <c r="Y13" s="2">
        <v>10</v>
      </c>
      <c r="Z13" s="2">
        <v>347.73</v>
      </c>
      <c r="AA13" s="8">
        <f t="shared" si="9"/>
        <v>46.4383012820513</v>
      </c>
      <c r="AB13" s="2">
        <v>351.371</v>
      </c>
      <c r="AC13" s="8">
        <f t="shared" ref="AC13:AG13" si="59">AB13/748.8*100</f>
        <v>46.9245459401709</v>
      </c>
      <c r="AD13" s="2">
        <v>336.138</v>
      </c>
      <c r="AE13" s="8">
        <f t="shared" si="59"/>
        <v>44.8902243589744</v>
      </c>
      <c r="AF13" s="2">
        <v>41.8</v>
      </c>
      <c r="AG13" s="8">
        <f t="shared" si="59"/>
        <v>5.58226495726496</v>
      </c>
      <c r="AH13" s="8">
        <f t="shared" si="11"/>
        <v>498.526315789474</v>
      </c>
      <c r="AI13" s="8">
        <f t="shared" si="12"/>
        <v>66.5766981556455</v>
      </c>
      <c r="AJ13" s="7">
        <f t="shared" si="13"/>
        <v>1.43365920625046</v>
      </c>
      <c r="AK13" s="7">
        <f t="shared" si="14"/>
        <v>1.41880324724998</v>
      </c>
      <c r="AL13" s="7">
        <f t="shared" si="15"/>
        <v>1.48310014276718</v>
      </c>
      <c r="AM13" s="7">
        <f t="shared" si="16"/>
        <v>11.9264668849156</v>
      </c>
      <c r="AN13" s="1"/>
      <c r="AO13" s="2">
        <v>10</v>
      </c>
      <c r="AP13" s="8">
        <v>1038.19</v>
      </c>
      <c r="AQ13" s="8">
        <f t="shared" ref="AQ13:AU13" si="60">AP13/1728*100</f>
        <v>60.0804398148148</v>
      </c>
      <c r="AR13" s="8">
        <v>622.411</v>
      </c>
      <c r="AS13" s="8">
        <f t="shared" si="60"/>
        <v>36.0191550925926</v>
      </c>
      <c r="AT13" s="8">
        <v>604.548</v>
      </c>
      <c r="AU13" s="8">
        <f t="shared" si="60"/>
        <v>34.9854166666667</v>
      </c>
      <c r="AV13" s="8">
        <v>138.09</v>
      </c>
      <c r="AW13" s="8">
        <f t="shared" si="18"/>
        <v>15.9826388888889</v>
      </c>
      <c r="AX13" s="8">
        <f t="shared" si="19"/>
        <v>1280</v>
      </c>
      <c r="AY13" s="8">
        <f t="shared" si="31"/>
        <v>74.0740740740741</v>
      </c>
      <c r="AZ13" s="7">
        <f t="shared" si="20"/>
        <v>1.23291497702733</v>
      </c>
      <c r="BA13" s="7">
        <f t="shared" si="21"/>
        <v>2.05651892399074</v>
      </c>
      <c r="BB13" s="7">
        <f t="shared" si="22"/>
        <v>2.11728431820137</v>
      </c>
      <c r="BC13" s="7">
        <f t="shared" si="23"/>
        <v>9.26931711202839</v>
      </c>
      <c r="BE13" s="1"/>
      <c r="BF13" s="2">
        <v>10</v>
      </c>
      <c r="BG13" s="8">
        <v>999.42</v>
      </c>
      <c r="BH13" s="8">
        <f t="shared" ref="BH13:BL13" si="61">BG13/2039.76*100</f>
        <v>48.9969408165667</v>
      </c>
      <c r="BI13" s="8">
        <v>1124.456</v>
      </c>
      <c r="BJ13" s="8">
        <f t="shared" si="61"/>
        <v>55.126877671883</v>
      </c>
      <c r="BK13" s="8">
        <v>354.84</v>
      </c>
      <c r="BL13" s="8">
        <f t="shared" si="61"/>
        <v>17.3961642546182</v>
      </c>
      <c r="BM13" s="8">
        <f t="shared" si="33"/>
        <v>1353.14285714286</v>
      </c>
      <c r="BN13" s="8">
        <f t="shared" si="34"/>
        <v>66.3383367230879</v>
      </c>
      <c r="BO13" s="7">
        <f t="shared" si="35"/>
        <v>1.35392813546142</v>
      </c>
      <c r="BP13" s="7">
        <f t="shared" si="36"/>
        <v>1.20337554972614</v>
      </c>
      <c r="BQ13" s="7">
        <f t="shared" si="37"/>
        <v>3.81338873053449</v>
      </c>
    </row>
    <row r="14" ht="20.4" spans="1:69">
      <c r="A14" s="1"/>
      <c r="B14" s="2">
        <v>11</v>
      </c>
      <c r="C14" s="2">
        <v>2688</v>
      </c>
      <c r="D14" s="2">
        <v>78976</v>
      </c>
      <c r="E14" s="2">
        <v>1920</v>
      </c>
      <c r="F14" s="2">
        <v>3631</v>
      </c>
      <c r="G14" s="2">
        <v>50.8</v>
      </c>
      <c r="H14" s="2">
        <v>4933</v>
      </c>
      <c r="I14" s="2">
        <v>69</v>
      </c>
      <c r="J14" s="5">
        <v>18.2</v>
      </c>
      <c r="K14" s="7">
        <f t="shared" si="0"/>
        <v>1.35857890388323</v>
      </c>
      <c r="L14" s="7">
        <f t="shared" si="1"/>
        <v>1.64800508867089</v>
      </c>
      <c r="M14" s="7">
        <f t="shared" si="2"/>
        <v>1.62484108968504</v>
      </c>
      <c r="N14" s="7">
        <f t="shared" si="3"/>
        <v>1.70868230909381</v>
      </c>
      <c r="O14" s="7">
        <f t="shared" si="4"/>
        <v>17.1378742504568</v>
      </c>
      <c r="P14" s="8">
        <f t="shared" si="5"/>
        <v>2993.316</v>
      </c>
      <c r="Q14" s="8">
        <f t="shared" si="25"/>
        <v>41.9091061827957</v>
      </c>
      <c r="R14" s="8">
        <f t="shared" si="6"/>
        <v>3035.9892</v>
      </c>
      <c r="S14" s="8">
        <f t="shared" si="26"/>
        <v>42.5065692204301</v>
      </c>
      <c r="T14" s="8">
        <f t="shared" si="7"/>
        <v>2887.02</v>
      </c>
      <c r="U14" s="8">
        <f t="shared" si="27"/>
        <v>40.4208669354839</v>
      </c>
      <c r="V14" s="8">
        <f t="shared" si="8"/>
        <v>287.842</v>
      </c>
      <c r="W14" s="8">
        <f t="shared" si="28"/>
        <v>4.03004592293907</v>
      </c>
      <c r="X14" s="1"/>
      <c r="Y14" s="2">
        <v>11</v>
      </c>
      <c r="Z14" s="2">
        <v>348.06</v>
      </c>
      <c r="AA14" s="8">
        <f t="shared" si="9"/>
        <v>46.4823717948718</v>
      </c>
      <c r="AB14" s="2">
        <v>353.022</v>
      </c>
      <c r="AC14" s="8">
        <f t="shared" ref="AC14:AG14" si="62">AB14/748.8*100</f>
        <v>47.1450320512821</v>
      </c>
      <c r="AD14" s="2">
        <v>335.7</v>
      </c>
      <c r="AE14" s="8">
        <f t="shared" si="62"/>
        <v>44.8317307692308</v>
      </c>
      <c r="AF14" s="2">
        <v>33.47</v>
      </c>
      <c r="AG14" s="8">
        <f t="shared" si="62"/>
        <v>4.46981837606838</v>
      </c>
      <c r="AH14" s="8">
        <f t="shared" si="11"/>
        <v>519.263157894737</v>
      </c>
      <c r="AI14" s="8">
        <f t="shared" si="12"/>
        <v>69.3460413855151</v>
      </c>
      <c r="AJ14" s="7">
        <f t="shared" si="13"/>
        <v>1.49187829079681</v>
      </c>
      <c r="AK14" s="7">
        <f t="shared" si="14"/>
        <v>1.4709087759254</v>
      </c>
      <c r="AL14" s="7">
        <f t="shared" si="15"/>
        <v>1.54680714296913</v>
      </c>
      <c r="AM14" s="7">
        <f t="shared" si="16"/>
        <v>15.5142861635715</v>
      </c>
      <c r="AN14" s="1"/>
      <c r="AO14" s="2">
        <v>11</v>
      </c>
      <c r="AP14" s="8">
        <v>1065.83</v>
      </c>
      <c r="AQ14" s="8">
        <f t="shared" ref="AQ14:AU14" si="63">AP14/1728*100</f>
        <v>61.6799768518518</v>
      </c>
      <c r="AR14" s="8">
        <v>621.789</v>
      </c>
      <c r="AS14" s="8">
        <f t="shared" si="63"/>
        <v>35.9831597222222</v>
      </c>
      <c r="AT14" s="8">
        <v>608.719</v>
      </c>
      <c r="AU14" s="8">
        <f t="shared" si="63"/>
        <v>35.2267939814815</v>
      </c>
      <c r="AV14" s="8">
        <v>137.47</v>
      </c>
      <c r="AW14" s="8">
        <f t="shared" si="18"/>
        <v>15.9108796296296</v>
      </c>
      <c r="AX14" s="8">
        <f t="shared" si="19"/>
        <v>1333.24324324324</v>
      </c>
      <c r="AY14" s="8">
        <f t="shared" si="31"/>
        <v>77.1552802802803</v>
      </c>
      <c r="AZ14" s="7">
        <f t="shared" si="20"/>
        <v>1.25089671264952</v>
      </c>
      <c r="BA14" s="7">
        <f t="shared" si="21"/>
        <v>2.14420525812332</v>
      </c>
      <c r="BB14" s="7">
        <f t="shared" si="22"/>
        <v>2.19024417381952</v>
      </c>
      <c r="BC14" s="7">
        <f t="shared" si="23"/>
        <v>9.69843051751832</v>
      </c>
      <c r="BE14" s="1"/>
      <c r="BF14" s="2">
        <v>11</v>
      </c>
      <c r="BG14" s="8">
        <v>999.05</v>
      </c>
      <c r="BH14" s="8">
        <f t="shared" ref="BH14:BL14" si="64">BG14/2039.76*100</f>
        <v>48.9788014276189</v>
      </c>
      <c r="BI14" s="8">
        <v>1122.352</v>
      </c>
      <c r="BJ14" s="8">
        <f t="shared" si="64"/>
        <v>55.0237282817586</v>
      </c>
      <c r="BK14" s="8">
        <v>355.37</v>
      </c>
      <c r="BL14" s="8">
        <f t="shared" si="64"/>
        <v>17.4221477036514</v>
      </c>
      <c r="BM14" s="8">
        <f t="shared" si="33"/>
        <v>1409.42857142857</v>
      </c>
      <c r="BN14" s="8">
        <f t="shared" si="34"/>
        <v>69.0977650031656</v>
      </c>
      <c r="BO14" s="7">
        <f t="shared" si="35"/>
        <v>1.41076880179027</v>
      </c>
      <c r="BP14" s="7">
        <f t="shared" si="36"/>
        <v>1.25578122677072</v>
      </c>
      <c r="BQ14" s="7">
        <f t="shared" si="37"/>
        <v>3.96608765913997</v>
      </c>
    </row>
    <row r="15" ht="20.4" spans="1:69">
      <c r="A15" s="1"/>
      <c r="B15" s="2">
        <v>12</v>
      </c>
      <c r="C15" s="2">
        <v>2688</v>
      </c>
      <c r="D15" s="2">
        <v>83584</v>
      </c>
      <c r="E15" s="2">
        <v>1920</v>
      </c>
      <c r="F15" s="2">
        <v>3569</v>
      </c>
      <c r="G15" s="2">
        <v>49.9</v>
      </c>
      <c r="H15" s="2">
        <v>4998</v>
      </c>
      <c r="I15" s="2">
        <v>69.9</v>
      </c>
      <c r="J15" s="5">
        <v>20</v>
      </c>
      <c r="K15" s="7">
        <f t="shared" si="0"/>
        <v>1.40039226674138</v>
      </c>
      <c r="L15" s="7">
        <f t="shared" si="1"/>
        <v>1.66996003188895</v>
      </c>
      <c r="M15" s="7">
        <f t="shared" si="2"/>
        <v>1.64703472455371</v>
      </c>
      <c r="N15" s="7">
        <f t="shared" si="3"/>
        <v>1.7528714931961</v>
      </c>
      <c r="O15" s="7">
        <f t="shared" si="4"/>
        <v>18.0991214792175</v>
      </c>
      <c r="P15" s="8">
        <f t="shared" si="5"/>
        <v>2992.886</v>
      </c>
      <c r="Q15" s="8">
        <f t="shared" si="25"/>
        <v>41.903085797491</v>
      </c>
      <c r="R15" s="8">
        <f t="shared" si="6"/>
        <v>3034.5444</v>
      </c>
      <c r="S15" s="8">
        <f t="shared" si="26"/>
        <v>42.4863407258064</v>
      </c>
      <c r="T15" s="8">
        <f t="shared" si="7"/>
        <v>2851.3214</v>
      </c>
      <c r="U15" s="8">
        <f t="shared" si="27"/>
        <v>39.921054547491</v>
      </c>
      <c r="V15" s="8">
        <f t="shared" si="8"/>
        <v>276.146</v>
      </c>
      <c r="W15" s="8">
        <f t="shared" si="28"/>
        <v>3.86629144265233</v>
      </c>
      <c r="X15" s="1"/>
      <c r="Y15" s="2">
        <v>12</v>
      </c>
      <c r="Z15" s="2">
        <v>348.01</v>
      </c>
      <c r="AA15" s="8">
        <f t="shared" si="9"/>
        <v>46.4756944444444</v>
      </c>
      <c r="AB15" s="2">
        <v>352.854</v>
      </c>
      <c r="AC15" s="8">
        <f t="shared" ref="AC15:AG15" si="65">AB15/748.8*100</f>
        <v>47.1225961538462</v>
      </c>
      <c r="AD15" s="2">
        <v>331.549</v>
      </c>
      <c r="AE15" s="8">
        <f t="shared" si="65"/>
        <v>44.2773771367521</v>
      </c>
      <c r="AF15" s="2">
        <v>32.11</v>
      </c>
      <c r="AG15" s="8">
        <f t="shared" si="65"/>
        <v>4.28819444444444</v>
      </c>
      <c r="AH15" s="8">
        <f t="shared" si="11"/>
        <v>526.105263157895</v>
      </c>
      <c r="AI15" s="8">
        <f t="shared" si="12"/>
        <v>70.2597840755735</v>
      </c>
      <c r="AJ15" s="7">
        <f t="shared" si="13"/>
        <v>1.51175329202579</v>
      </c>
      <c r="AK15" s="7">
        <f t="shared" si="14"/>
        <v>1.49099985591178</v>
      </c>
      <c r="AL15" s="7">
        <f t="shared" si="15"/>
        <v>1.58680998331437</v>
      </c>
      <c r="AM15" s="7">
        <f t="shared" si="16"/>
        <v>16.3844678653969</v>
      </c>
      <c r="AN15" s="1"/>
      <c r="AO15" s="2">
        <v>12</v>
      </c>
      <c r="AP15" s="8">
        <v>1045.53</v>
      </c>
      <c r="AQ15" s="8">
        <f t="shared" ref="AQ15:AU15" si="66">AP15/1728*100</f>
        <v>60.5052083333333</v>
      </c>
      <c r="AR15" s="8">
        <v>633.385</v>
      </c>
      <c r="AS15" s="8">
        <f t="shared" si="66"/>
        <v>36.654224537037</v>
      </c>
      <c r="AT15" s="8">
        <v>602.106</v>
      </c>
      <c r="AU15" s="8">
        <f t="shared" si="66"/>
        <v>34.8440972222222</v>
      </c>
      <c r="AV15" s="8">
        <v>135.01</v>
      </c>
      <c r="AW15" s="8">
        <f t="shared" si="18"/>
        <v>15.6261574074074</v>
      </c>
      <c r="AX15" s="8">
        <f t="shared" si="19"/>
        <v>1350.81081081081</v>
      </c>
      <c r="AY15" s="8">
        <f t="shared" si="31"/>
        <v>78.1719219219219</v>
      </c>
      <c r="AZ15" s="7">
        <f t="shared" si="20"/>
        <v>1.29198665826022</v>
      </c>
      <c r="BA15" s="7">
        <f t="shared" si="21"/>
        <v>2.13268519275135</v>
      </c>
      <c r="BB15" s="7">
        <f t="shared" si="22"/>
        <v>2.24347674796599</v>
      </c>
      <c r="BC15" s="7">
        <f t="shared" si="23"/>
        <v>10.0052648752745</v>
      </c>
      <c r="BE15" s="1"/>
      <c r="BF15" s="2">
        <v>12</v>
      </c>
      <c r="BG15" s="8">
        <v>999.82</v>
      </c>
      <c r="BH15" s="8">
        <f t="shared" ref="BH15:BL15" si="67">BG15/2039.76*100</f>
        <v>49.0165509667804</v>
      </c>
      <c r="BI15" s="8">
        <v>1128.16</v>
      </c>
      <c r="BJ15" s="8">
        <f t="shared" si="67"/>
        <v>55.3084676628623</v>
      </c>
      <c r="BK15" s="8">
        <v>353.19</v>
      </c>
      <c r="BL15" s="8">
        <f t="shared" si="67"/>
        <v>17.3152723849865</v>
      </c>
      <c r="BM15" s="8">
        <f t="shared" si="33"/>
        <v>1428</v>
      </c>
      <c r="BN15" s="8">
        <f t="shared" si="34"/>
        <v>70.0082362630898</v>
      </c>
      <c r="BO15" s="7">
        <f t="shared" si="35"/>
        <v>1.42825708627553</v>
      </c>
      <c r="BP15" s="7">
        <f t="shared" si="36"/>
        <v>1.26577790384343</v>
      </c>
      <c r="BQ15" s="7">
        <f t="shared" si="37"/>
        <v>4.04314957954642</v>
      </c>
    </row>
    <row r="16" ht="20.4" spans="1:69">
      <c r="A16" s="1"/>
      <c r="B16" s="2">
        <v>13</v>
      </c>
      <c r="C16" s="2">
        <v>2688</v>
      </c>
      <c r="D16" s="2">
        <v>81664</v>
      </c>
      <c r="E16" s="2">
        <v>1920</v>
      </c>
      <c r="F16" s="2">
        <v>3564</v>
      </c>
      <c r="G16" s="2">
        <v>49.9</v>
      </c>
      <c r="H16" s="2">
        <v>5095</v>
      </c>
      <c r="I16" s="2">
        <v>71.3</v>
      </c>
      <c r="J16" s="5">
        <v>21.4</v>
      </c>
      <c r="K16" s="7">
        <f t="shared" si="0"/>
        <v>1.42957351290685</v>
      </c>
      <c r="L16" s="7">
        <f t="shared" si="1"/>
        <v>1.71483692388884</v>
      </c>
      <c r="M16" s="7">
        <f t="shared" si="2"/>
        <v>1.6822084679898</v>
      </c>
      <c r="N16" s="7">
        <f t="shared" si="3"/>
        <v>1.81100114773753</v>
      </c>
      <c r="O16" s="7">
        <f t="shared" si="4"/>
        <v>22.534874875052</v>
      </c>
      <c r="P16" s="8">
        <f t="shared" si="5"/>
        <v>2971.128</v>
      </c>
      <c r="Q16" s="8">
        <f t="shared" si="25"/>
        <v>41.5984543010753</v>
      </c>
      <c r="R16" s="8">
        <f t="shared" si="6"/>
        <v>3028.7566</v>
      </c>
      <c r="S16" s="8">
        <f t="shared" si="26"/>
        <v>42.4053063396057</v>
      </c>
      <c r="T16" s="8">
        <f t="shared" si="7"/>
        <v>2813.361</v>
      </c>
      <c r="U16" s="8">
        <f t="shared" si="27"/>
        <v>39.3895749327957</v>
      </c>
      <c r="V16" s="8">
        <f t="shared" si="8"/>
        <v>226.094</v>
      </c>
      <c r="W16" s="8">
        <f t="shared" si="28"/>
        <v>3.16551859318996</v>
      </c>
      <c r="X16" s="1"/>
      <c r="Y16" s="2">
        <v>13</v>
      </c>
      <c r="Z16" s="2">
        <v>345.48</v>
      </c>
      <c r="AA16" s="8">
        <f t="shared" si="9"/>
        <v>46.1378205128205</v>
      </c>
      <c r="AB16" s="2">
        <v>352.181</v>
      </c>
      <c r="AC16" s="8">
        <f t="shared" ref="AC16:AG16" si="68">AB16/748.8*100</f>
        <v>47.032719017094</v>
      </c>
      <c r="AD16" s="2">
        <v>327.135</v>
      </c>
      <c r="AE16" s="8">
        <f t="shared" si="68"/>
        <v>43.6879006410256</v>
      </c>
      <c r="AF16" s="2">
        <v>26.29</v>
      </c>
      <c r="AG16" s="8">
        <f t="shared" si="68"/>
        <v>3.51095085470085</v>
      </c>
      <c r="AH16" s="8">
        <f t="shared" si="11"/>
        <v>536.315789473684</v>
      </c>
      <c r="AI16" s="8">
        <f t="shared" si="12"/>
        <v>71.6233693207377</v>
      </c>
      <c r="AJ16" s="7">
        <f t="shared" si="13"/>
        <v>1.55237868899411</v>
      </c>
      <c r="AK16" s="7">
        <f t="shared" si="14"/>
        <v>1.52284134996971</v>
      </c>
      <c r="AL16" s="7">
        <f t="shared" si="15"/>
        <v>1.63943261795187</v>
      </c>
      <c r="AM16" s="7">
        <f t="shared" si="16"/>
        <v>20.3999919921523</v>
      </c>
      <c r="AN16" s="1"/>
      <c r="AO16" s="2">
        <v>13</v>
      </c>
      <c r="AP16" s="8">
        <v>1031.05</v>
      </c>
      <c r="AQ16" s="8">
        <f t="shared" ref="AQ16:AU16" si="69">AP16/1728*100</f>
        <v>59.6672453703704</v>
      </c>
      <c r="AR16" s="8">
        <v>620.752</v>
      </c>
      <c r="AS16" s="8">
        <f t="shared" si="69"/>
        <v>35.9231481481481</v>
      </c>
      <c r="AT16" s="8">
        <v>595.595</v>
      </c>
      <c r="AU16" s="8">
        <f t="shared" si="69"/>
        <v>34.4673032407407</v>
      </c>
      <c r="AV16" s="8">
        <v>141.96</v>
      </c>
      <c r="AW16" s="8">
        <f t="shared" si="18"/>
        <v>16.4305555555556</v>
      </c>
      <c r="AX16" s="8">
        <f t="shared" si="19"/>
        <v>1377.02702702703</v>
      </c>
      <c r="AY16" s="8">
        <f t="shared" si="31"/>
        <v>79.6890640640641</v>
      </c>
      <c r="AZ16" s="7">
        <f t="shared" si="20"/>
        <v>1.33555795259883</v>
      </c>
      <c r="BA16" s="7">
        <f t="shared" si="21"/>
        <v>2.21832072555067</v>
      </c>
      <c r="BB16" s="7">
        <f t="shared" si="22"/>
        <v>2.31201911874181</v>
      </c>
      <c r="BC16" s="7">
        <f t="shared" si="23"/>
        <v>9.70010585395201</v>
      </c>
      <c r="BE16" s="1"/>
      <c r="BF16" s="2">
        <v>13</v>
      </c>
      <c r="BG16" s="8">
        <v>1004.08</v>
      </c>
      <c r="BH16" s="8">
        <f t="shared" ref="BH16:BL16" si="70">BG16/2039.76*100</f>
        <v>49.2253990665569</v>
      </c>
      <c r="BI16" s="8">
        <v>1119.473</v>
      </c>
      <c r="BJ16" s="8">
        <f t="shared" si="70"/>
        <v>54.8825842255952</v>
      </c>
      <c r="BK16" s="8">
        <v>353.48</v>
      </c>
      <c r="BL16" s="8">
        <f t="shared" si="70"/>
        <v>17.3294897438914</v>
      </c>
      <c r="BM16" s="8">
        <f t="shared" si="33"/>
        <v>1455.71428571429</v>
      </c>
      <c r="BN16" s="8">
        <f t="shared" si="34"/>
        <v>71.3669395278996</v>
      </c>
      <c r="BO16" s="7">
        <f t="shared" si="35"/>
        <v>1.4497991053644</v>
      </c>
      <c r="BP16" s="7">
        <f t="shared" si="36"/>
        <v>1.30035676225714</v>
      </c>
      <c r="BQ16" s="7">
        <f t="shared" si="37"/>
        <v>4.11823663492782</v>
      </c>
    </row>
    <row r="17" ht="20.4" spans="1:69">
      <c r="A17" s="1"/>
      <c r="B17" s="2">
        <v>14</v>
      </c>
      <c r="C17" s="2">
        <v>2688</v>
      </c>
      <c r="D17" s="2">
        <v>81280</v>
      </c>
      <c r="E17" s="2">
        <v>1920</v>
      </c>
      <c r="F17" s="2">
        <v>3606</v>
      </c>
      <c r="G17" s="2">
        <v>50.4</v>
      </c>
      <c r="H17" s="2">
        <v>4706</v>
      </c>
      <c r="I17" s="2">
        <v>65.8</v>
      </c>
      <c r="J17" s="5">
        <v>15.4</v>
      </c>
      <c r="K17" s="7">
        <f t="shared" si="0"/>
        <v>1.30504714364947</v>
      </c>
      <c r="L17" s="7">
        <f t="shared" si="1"/>
        <v>1.57253089926312</v>
      </c>
      <c r="M17" s="7">
        <f t="shared" si="2"/>
        <v>1.54900952920643</v>
      </c>
      <c r="N17" s="7">
        <f t="shared" si="3"/>
        <v>1.66903852670075</v>
      </c>
      <c r="O17" s="7">
        <f t="shared" si="4"/>
        <v>16.2184144139176</v>
      </c>
      <c r="P17" s="8">
        <f t="shared" si="5"/>
        <v>2992.628</v>
      </c>
      <c r="Q17" s="8">
        <f t="shared" si="25"/>
        <v>41.8994735663082</v>
      </c>
      <c r="R17" s="8">
        <f t="shared" si="6"/>
        <v>3038.0704</v>
      </c>
      <c r="S17" s="8">
        <f t="shared" si="26"/>
        <v>42.5357078853047</v>
      </c>
      <c r="T17" s="8">
        <f t="shared" si="7"/>
        <v>2819.5874</v>
      </c>
      <c r="U17" s="8">
        <f t="shared" si="27"/>
        <v>39.4767501120072</v>
      </c>
      <c r="V17" s="8">
        <f t="shared" si="8"/>
        <v>290.164</v>
      </c>
      <c r="W17" s="8">
        <f t="shared" si="28"/>
        <v>4.06255600358423</v>
      </c>
      <c r="X17" s="1"/>
      <c r="Y17" s="2">
        <v>14</v>
      </c>
      <c r="Z17" s="2">
        <v>347.98</v>
      </c>
      <c r="AA17" s="8">
        <f t="shared" si="9"/>
        <v>46.471688034188</v>
      </c>
      <c r="AB17" s="2">
        <v>353.264</v>
      </c>
      <c r="AC17" s="8">
        <f t="shared" ref="AC17:AG17" si="71">AB17/748.8*100</f>
        <v>47.1773504273504</v>
      </c>
      <c r="AD17" s="2">
        <v>327.859</v>
      </c>
      <c r="AE17" s="8">
        <f t="shared" si="71"/>
        <v>43.7845886752137</v>
      </c>
      <c r="AF17" s="2">
        <v>33.74</v>
      </c>
      <c r="AG17" s="8">
        <f t="shared" si="71"/>
        <v>4.50587606837607</v>
      </c>
      <c r="AH17" s="8">
        <f t="shared" si="11"/>
        <v>495.368421052632</v>
      </c>
      <c r="AI17" s="8">
        <f t="shared" si="12"/>
        <v>66.1549707602339</v>
      </c>
      <c r="AJ17" s="7">
        <f t="shared" si="13"/>
        <v>1.42355428775398</v>
      </c>
      <c r="AK17" s="7">
        <f t="shared" si="14"/>
        <v>1.40226125801846</v>
      </c>
      <c r="AL17" s="7">
        <f t="shared" si="15"/>
        <v>1.5109190873291</v>
      </c>
      <c r="AM17" s="7">
        <f t="shared" si="16"/>
        <v>14.6819330483886</v>
      </c>
      <c r="AN17" s="1"/>
      <c r="AO17" s="2">
        <v>14</v>
      </c>
      <c r="AP17" s="8">
        <v>1040.63</v>
      </c>
      <c r="AQ17" s="8">
        <f t="shared" ref="AQ17:AU17" si="72">AP17/1728*100</f>
        <v>60.2216435185185</v>
      </c>
      <c r="AR17" s="8">
        <v>621.84</v>
      </c>
      <c r="AS17" s="8">
        <f t="shared" si="72"/>
        <v>35.9861111111111</v>
      </c>
      <c r="AT17" s="8">
        <v>606.878</v>
      </c>
      <c r="AU17" s="8">
        <f t="shared" si="72"/>
        <v>35.1202546296296</v>
      </c>
      <c r="AV17" s="8">
        <v>134.93</v>
      </c>
      <c r="AW17" s="8">
        <f t="shared" si="18"/>
        <v>15.6168981481481</v>
      </c>
      <c r="AX17" s="8">
        <f t="shared" si="19"/>
        <v>1271.89189189189</v>
      </c>
      <c r="AY17" s="8">
        <f t="shared" si="31"/>
        <v>73.6048548548548</v>
      </c>
      <c r="AZ17" s="7">
        <f t="shared" si="20"/>
        <v>1.2222325820819</v>
      </c>
      <c r="BA17" s="7">
        <f t="shared" si="21"/>
        <v>2.0453684097065</v>
      </c>
      <c r="BB17" s="7">
        <f t="shared" si="22"/>
        <v>2.09579502287427</v>
      </c>
      <c r="BC17" s="7">
        <f t="shared" si="23"/>
        <v>9.42630913727038</v>
      </c>
      <c r="BE17" s="1"/>
      <c r="BF17" s="2">
        <v>14</v>
      </c>
      <c r="BG17" s="8">
        <v>1000.43</v>
      </c>
      <c r="BH17" s="8">
        <f t="shared" ref="BH17:BL17" si="73">BG17/2039.76*100</f>
        <v>49.0464564458564</v>
      </c>
      <c r="BI17" s="8">
        <v>1126.584</v>
      </c>
      <c r="BJ17" s="8">
        <f t="shared" si="73"/>
        <v>55.2312036710201</v>
      </c>
      <c r="BK17" s="8">
        <v>354.98</v>
      </c>
      <c r="BL17" s="8">
        <f t="shared" si="73"/>
        <v>17.403027807193</v>
      </c>
      <c r="BM17" s="8">
        <f t="shared" si="33"/>
        <v>1344.57142857143</v>
      </c>
      <c r="BN17" s="8">
        <f t="shared" si="34"/>
        <v>65.9181192185075</v>
      </c>
      <c r="BO17" s="7">
        <f t="shared" si="35"/>
        <v>1.34399351136154</v>
      </c>
      <c r="BP17" s="7">
        <f t="shared" si="36"/>
        <v>1.19349416339255</v>
      </c>
      <c r="BQ17" s="7">
        <f t="shared" si="37"/>
        <v>3.78773854462626</v>
      </c>
    </row>
    <row r="18" ht="20.4" spans="1:69">
      <c r="A18" s="1"/>
      <c r="B18" s="2">
        <v>15</v>
      </c>
      <c r="C18" s="2">
        <v>2688</v>
      </c>
      <c r="D18" s="2">
        <v>75520</v>
      </c>
      <c r="E18" s="2">
        <v>1920</v>
      </c>
      <c r="F18" s="2">
        <v>3554</v>
      </c>
      <c r="G18" s="2">
        <v>49.7</v>
      </c>
      <c r="H18" s="2">
        <v>5021</v>
      </c>
      <c r="I18" s="2">
        <v>70.3</v>
      </c>
      <c r="J18" s="5">
        <v>20.6</v>
      </c>
      <c r="K18" s="7">
        <f t="shared" si="0"/>
        <v>1.41277433877321</v>
      </c>
      <c r="L18" s="7">
        <f t="shared" si="1"/>
        <v>1.67173636840661</v>
      </c>
      <c r="M18" s="7">
        <f t="shared" si="2"/>
        <v>1.66410295603812</v>
      </c>
      <c r="N18" s="7">
        <f t="shared" si="3"/>
        <v>1.7748940825505</v>
      </c>
      <c r="O18" s="7">
        <f t="shared" si="4"/>
        <v>23.4472774820211</v>
      </c>
      <c r="P18" s="8">
        <f t="shared" si="5"/>
        <v>3003.464</v>
      </c>
      <c r="Q18" s="8">
        <f t="shared" si="25"/>
        <v>42.0511872759857</v>
      </c>
      <c r="R18" s="8">
        <f t="shared" si="6"/>
        <v>3017.2412</v>
      </c>
      <c r="S18" s="8">
        <f t="shared" si="26"/>
        <v>42.244080421147</v>
      </c>
      <c r="T18" s="8">
        <f t="shared" si="7"/>
        <v>2828.9012</v>
      </c>
      <c r="U18" s="8">
        <f t="shared" si="27"/>
        <v>39.6071516577061</v>
      </c>
      <c r="V18" s="8">
        <f t="shared" si="8"/>
        <v>214.14</v>
      </c>
      <c r="W18" s="8">
        <f t="shared" si="28"/>
        <v>2.99815188172043</v>
      </c>
      <c r="X18" s="1"/>
      <c r="Y18" s="2">
        <v>15</v>
      </c>
      <c r="Z18" s="2">
        <v>349.24</v>
      </c>
      <c r="AA18" s="8">
        <f t="shared" si="9"/>
        <v>46.6399572649573</v>
      </c>
      <c r="AB18" s="2">
        <v>350.842</v>
      </c>
      <c r="AC18" s="8">
        <f t="shared" ref="AC18:AG18" si="74">AB18/748.8*100</f>
        <v>46.8538995726496</v>
      </c>
      <c r="AD18" s="2">
        <v>328.942</v>
      </c>
      <c r="AE18" s="8">
        <f t="shared" si="74"/>
        <v>43.9292200854701</v>
      </c>
      <c r="AF18" s="2">
        <v>24.9</v>
      </c>
      <c r="AG18" s="8">
        <f t="shared" si="74"/>
        <v>3.32532051282051</v>
      </c>
      <c r="AH18" s="8">
        <f t="shared" si="11"/>
        <v>528.526315789474</v>
      </c>
      <c r="AI18" s="8">
        <f t="shared" si="12"/>
        <v>70.5831084120558</v>
      </c>
      <c r="AJ18" s="7">
        <f t="shared" si="13"/>
        <v>1.51336134403125</v>
      </c>
      <c r="AK18" s="7">
        <f t="shared" si="14"/>
        <v>1.50645109704503</v>
      </c>
      <c r="AL18" s="7">
        <f t="shared" si="15"/>
        <v>1.60674622209834</v>
      </c>
      <c r="AM18" s="7">
        <f t="shared" si="16"/>
        <v>21.2259564574086</v>
      </c>
      <c r="AN18" s="1"/>
      <c r="AO18" s="2">
        <v>15</v>
      </c>
      <c r="AP18" s="8">
        <v>1037.17</v>
      </c>
      <c r="AQ18" s="8">
        <f t="shared" ref="AQ18:AU18" si="75">AP18/1728*100</f>
        <v>60.021412037037</v>
      </c>
      <c r="AR18" s="8">
        <v>620.482</v>
      </c>
      <c r="AS18" s="8">
        <f t="shared" si="75"/>
        <v>35.9075231481481</v>
      </c>
      <c r="AT18" s="8">
        <v>604.423</v>
      </c>
      <c r="AU18" s="8">
        <f t="shared" si="75"/>
        <v>34.9781828703704</v>
      </c>
      <c r="AV18" s="8">
        <v>140.81</v>
      </c>
      <c r="AW18" s="8">
        <f t="shared" si="18"/>
        <v>16.2974537037037</v>
      </c>
      <c r="AX18" s="8">
        <f t="shared" si="19"/>
        <v>1357.02702702703</v>
      </c>
      <c r="AY18" s="8">
        <f t="shared" si="31"/>
        <v>78.5316566566567</v>
      </c>
      <c r="AZ18" s="7">
        <f t="shared" si="20"/>
        <v>1.30839402125691</v>
      </c>
      <c r="BA18" s="7">
        <f t="shared" si="21"/>
        <v>2.1870530120568</v>
      </c>
      <c r="BB18" s="7">
        <f t="shared" si="22"/>
        <v>2.24516113223194</v>
      </c>
      <c r="BC18" s="7">
        <f t="shared" si="23"/>
        <v>9.63729157749469</v>
      </c>
      <c r="BE18" s="1"/>
      <c r="BF18" s="2">
        <v>15</v>
      </c>
      <c r="BG18" s="8">
        <v>996.96</v>
      </c>
      <c r="BH18" s="8">
        <f t="shared" ref="BH18:BL18" si="76">BG18/2039.76*100</f>
        <v>48.8763383927521</v>
      </c>
      <c r="BI18" s="8">
        <v>1110.968</v>
      </c>
      <c r="BJ18" s="8">
        <f t="shared" si="76"/>
        <v>54.4656234066753</v>
      </c>
      <c r="BK18" s="8">
        <v>355.06</v>
      </c>
      <c r="BL18" s="8">
        <f t="shared" si="76"/>
        <v>17.4069498372358</v>
      </c>
      <c r="BM18" s="8">
        <f t="shared" si="33"/>
        <v>1434.57142857143</v>
      </c>
      <c r="BN18" s="8">
        <f t="shared" si="34"/>
        <v>70.3304030166014</v>
      </c>
      <c r="BO18" s="7">
        <f t="shared" si="35"/>
        <v>1.43894582387601</v>
      </c>
      <c r="BP18" s="7">
        <f t="shared" si="36"/>
        <v>1.29128060265591</v>
      </c>
      <c r="BQ18" s="7">
        <f t="shared" si="37"/>
        <v>4.04036339934498</v>
      </c>
    </row>
    <row r="19" ht="20.4" spans="1:69">
      <c r="A19" s="1"/>
      <c r="B19" s="2">
        <v>16</v>
      </c>
      <c r="C19" s="2">
        <v>3456</v>
      </c>
      <c r="D19" s="2">
        <v>83584</v>
      </c>
      <c r="E19" s="2">
        <v>1920</v>
      </c>
      <c r="F19" s="2">
        <v>4573</v>
      </c>
      <c r="G19" s="2">
        <v>64</v>
      </c>
      <c r="H19" s="2">
        <v>5920</v>
      </c>
      <c r="I19" s="2">
        <v>82.8</v>
      </c>
      <c r="J19" s="5">
        <v>18.8</v>
      </c>
      <c r="K19" s="7">
        <f t="shared" si="0"/>
        <v>1.29455499671988</v>
      </c>
      <c r="L19" s="7">
        <f t="shared" si="1"/>
        <v>1.96184477035812</v>
      </c>
      <c r="M19" s="7">
        <f t="shared" si="2"/>
        <v>1.95489166730069</v>
      </c>
      <c r="N19" s="7">
        <f t="shared" si="3"/>
        <v>2.26721590482595</v>
      </c>
      <c r="O19" s="7">
        <f t="shared" si="4"/>
        <v>20.6904746926136</v>
      </c>
      <c r="P19" s="8">
        <f t="shared" si="5"/>
        <v>3017.568</v>
      </c>
      <c r="Q19" s="8">
        <f t="shared" si="25"/>
        <v>42.2486559139785</v>
      </c>
      <c r="R19" s="8">
        <f t="shared" si="6"/>
        <v>3028.3008</v>
      </c>
      <c r="S19" s="8">
        <f t="shared" si="26"/>
        <v>42.3989247311828</v>
      </c>
      <c r="T19" s="8">
        <f t="shared" si="7"/>
        <v>2611.132</v>
      </c>
      <c r="U19" s="8">
        <f t="shared" si="27"/>
        <v>36.5581877240143</v>
      </c>
      <c r="V19" s="8">
        <f t="shared" si="8"/>
        <v>286.122</v>
      </c>
      <c r="W19" s="8">
        <f t="shared" si="28"/>
        <v>4.00596438172043</v>
      </c>
      <c r="X19" s="1"/>
      <c r="Y19" s="2">
        <v>16</v>
      </c>
      <c r="Z19" s="2">
        <v>350.88</v>
      </c>
      <c r="AA19" s="8">
        <f t="shared" si="9"/>
        <v>46.8589743589744</v>
      </c>
      <c r="AB19" s="2">
        <v>352.128</v>
      </c>
      <c r="AC19" s="8">
        <f t="shared" ref="AC19:AG19" si="77">AB19/748.8*100</f>
        <v>47.025641025641</v>
      </c>
      <c r="AD19" s="2">
        <v>303.62</v>
      </c>
      <c r="AE19" s="8">
        <f t="shared" si="77"/>
        <v>40.5475427350427</v>
      </c>
      <c r="AF19" s="2">
        <v>33.27</v>
      </c>
      <c r="AG19" s="8">
        <f t="shared" si="77"/>
        <v>4.44310897435898</v>
      </c>
      <c r="AH19" s="8">
        <f t="shared" si="11"/>
        <v>623.157894736842</v>
      </c>
      <c r="AI19" s="8">
        <f t="shared" si="12"/>
        <v>83.2208726945569</v>
      </c>
      <c r="AJ19" s="7">
        <f t="shared" si="13"/>
        <v>1.77598579211366</v>
      </c>
      <c r="AK19" s="7">
        <f t="shared" si="14"/>
        <v>1.76969140408273</v>
      </c>
      <c r="AL19" s="7">
        <f t="shared" si="15"/>
        <v>2.05242702963191</v>
      </c>
      <c r="AM19" s="7">
        <f t="shared" si="16"/>
        <v>18.7303244585766</v>
      </c>
      <c r="AN19" s="1"/>
      <c r="AO19" s="2">
        <v>16</v>
      </c>
      <c r="AP19" s="8">
        <v>1067.75</v>
      </c>
      <c r="AQ19" s="8">
        <f t="shared" ref="AQ19:AU19" si="78">AP19/1728*100</f>
        <v>61.791087962963</v>
      </c>
      <c r="AR19" s="8">
        <v>626.081</v>
      </c>
      <c r="AS19" s="8">
        <f t="shared" si="78"/>
        <v>36.2315393518519</v>
      </c>
      <c r="AT19" s="8">
        <v>620.889</v>
      </c>
      <c r="AU19" s="8">
        <f t="shared" si="78"/>
        <v>35.9310763888889</v>
      </c>
      <c r="AV19" s="8">
        <v>155.79</v>
      </c>
      <c r="AW19" s="8">
        <f t="shared" si="18"/>
        <v>18.03125</v>
      </c>
      <c r="AX19" s="8">
        <f t="shared" si="19"/>
        <v>1600</v>
      </c>
      <c r="AY19" s="8">
        <f t="shared" si="31"/>
        <v>92.5925925925926</v>
      </c>
      <c r="AZ19" s="7">
        <f t="shared" si="20"/>
        <v>1.49847810817139</v>
      </c>
      <c r="BA19" s="7">
        <f t="shared" si="21"/>
        <v>2.55557986905848</v>
      </c>
      <c r="BB19" s="7">
        <f t="shared" si="22"/>
        <v>2.57695014728881</v>
      </c>
      <c r="BC19" s="7">
        <f t="shared" si="23"/>
        <v>10.2702355735285</v>
      </c>
      <c r="BE19" s="1"/>
      <c r="BF19" s="2">
        <v>16</v>
      </c>
      <c r="BG19" s="8">
        <v>1150.4</v>
      </c>
      <c r="BH19" s="8">
        <f t="shared" ref="BH19:BL19" si="79">BG19/2039.76*100</f>
        <v>56.3987920147468</v>
      </c>
      <c r="BI19" s="8">
        <v>1144.285</v>
      </c>
      <c r="BJ19" s="8">
        <f t="shared" si="79"/>
        <v>56.0990018433541</v>
      </c>
      <c r="BK19" s="8">
        <v>339.45</v>
      </c>
      <c r="BL19" s="8">
        <f t="shared" si="79"/>
        <v>16.6416637251441</v>
      </c>
      <c r="BM19" s="8">
        <f t="shared" si="33"/>
        <v>1691.42857142857</v>
      </c>
      <c r="BN19" s="8">
        <f t="shared" si="34"/>
        <v>82.9229209038598</v>
      </c>
      <c r="BO19" s="7">
        <f t="shared" si="35"/>
        <v>1.47029604609577</v>
      </c>
      <c r="BP19" s="7">
        <f t="shared" si="36"/>
        <v>1.47815323230539</v>
      </c>
      <c r="BQ19" s="7">
        <f t="shared" si="37"/>
        <v>4.98285040927551</v>
      </c>
    </row>
    <row r="20" ht="20.4" spans="1:69">
      <c r="A20" s="1"/>
      <c r="B20" s="2">
        <v>17</v>
      </c>
      <c r="C20" s="2">
        <v>3456</v>
      </c>
      <c r="D20" s="2">
        <v>77440</v>
      </c>
      <c r="E20" s="2">
        <v>1920</v>
      </c>
      <c r="F20" s="2">
        <v>4537</v>
      </c>
      <c r="G20" s="2">
        <v>63.5</v>
      </c>
      <c r="H20" s="2">
        <v>5812</v>
      </c>
      <c r="I20" s="2">
        <v>81.3</v>
      </c>
      <c r="J20" s="5">
        <v>17.8</v>
      </c>
      <c r="K20" s="7">
        <f t="shared" si="0"/>
        <v>1.28102270222614</v>
      </c>
      <c r="L20" s="7">
        <f t="shared" si="1"/>
        <v>1.92671328968061</v>
      </c>
      <c r="M20" s="7">
        <f t="shared" si="2"/>
        <v>1.91907005536841</v>
      </c>
      <c r="N20" s="7">
        <f t="shared" si="3"/>
        <v>2.22087325867602</v>
      </c>
      <c r="O20" s="7">
        <f t="shared" si="4"/>
        <v>20.0122580245298</v>
      </c>
      <c r="P20" s="8">
        <f t="shared" si="5"/>
        <v>3016.536</v>
      </c>
      <c r="Q20" s="8">
        <f t="shared" si="25"/>
        <v>42.2342069892473</v>
      </c>
      <c r="R20" s="8">
        <f t="shared" si="6"/>
        <v>3028.5502</v>
      </c>
      <c r="S20" s="8">
        <f t="shared" si="26"/>
        <v>42.4024165546595</v>
      </c>
      <c r="T20" s="8">
        <f t="shared" si="7"/>
        <v>2616.9886</v>
      </c>
      <c r="U20" s="8">
        <f t="shared" si="27"/>
        <v>36.6401853718638</v>
      </c>
      <c r="V20" s="8">
        <f t="shared" si="8"/>
        <v>290.422</v>
      </c>
      <c r="W20" s="8">
        <f t="shared" si="28"/>
        <v>4.06616823476703</v>
      </c>
      <c r="X20" s="1"/>
      <c r="Y20" s="2">
        <v>17</v>
      </c>
      <c r="Z20" s="2">
        <v>350.76</v>
      </c>
      <c r="AA20" s="8">
        <f t="shared" si="9"/>
        <v>46.8429487179487</v>
      </c>
      <c r="AB20" s="2">
        <v>352.157</v>
      </c>
      <c r="AC20" s="8">
        <f t="shared" ref="AC20:AG20" si="80">AB20/748.8*100</f>
        <v>47.0295138888889</v>
      </c>
      <c r="AD20" s="2">
        <v>304.301</v>
      </c>
      <c r="AE20" s="8">
        <f t="shared" si="80"/>
        <v>40.6384882478633</v>
      </c>
      <c r="AF20" s="2">
        <v>33.77</v>
      </c>
      <c r="AG20" s="8">
        <f t="shared" si="80"/>
        <v>4.50988247863248</v>
      </c>
      <c r="AH20" s="8">
        <f t="shared" si="11"/>
        <v>611.789473684211</v>
      </c>
      <c r="AI20" s="8">
        <f t="shared" si="12"/>
        <v>81.7026540710751</v>
      </c>
      <c r="AJ20" s="7">
        <f t="shared" si="13"/>
        <v>1.74418255697403</v>
      </c>
      <c r="AK20" s="7">
        <f t="shared" si="14"/>
        <v>1.73726341854403</v>
      </c>
      <c r="AL20" s="7">
        <f t="shared" si="15"/>
        <v>2.01047473943303</v>
      </c>
      <c r="AM20" s="7">
        <f t="shared" si="16"/>
        <v>18.1163598958902</v>
      </c>
      <c r="AN20" s="1"/>
      <c r="AO20" s="2">
        <v>17</v>
      </c>
      <c r="AP20" s="8">
        <v>1039.65</v>
      </c>
      <c r="AQ20" s="8">
        <f t="shared" ref="AQ20:AU20" si="81">AP20/1728*100</f>
        <v>60.1649305555556</v>
      </c>
      <c r="AR20" s="8">
        <v>637.743</v>
      </c>
      <c r="AS20" s="8">
        <f t="shared" si="81"/>
        <v>36.9064236111111</v>
      </c>
      <c r="AT20" s="8">
        <v>623.975</v>
      </c>
      <c r="AU20" s="8">
        <f t="shared" si="81"/>
        <v>36.1096643518519</v>
      </c>
      <c r="AV20" s="8">
        <v>144.57</v>
      </c>
      <c r="AW20" s="8">
        <f t="shared" si="18"/>
        <v>16.7326388888889</v>
      </c>
      <c r="AX20" s="8">
        <f t="shared" si="19"/>
        <v>1570.81081081081</v>
      </c>
      <c r="AY20" s="8">
        <f t="shared" si="31"/>
        <v>90.9034034034034</v>
      </c>
      <c r="AZ20" s="7">
        <f t="shared" si="20"/>
        <v>1.51090348753024</v>
      </c>
      <c r="BA20" s="7">
        <f t="shared" si="21"/>
        <v>2.4630780907212</v>
      </c>
      <c r="BB20" s="7">
        <f t="shared" si="22"/>
        <v>2.5174258757335</v>
      </c>
      <c r="BC20" s="7">
        <f t="shared" si="23"/>
        <v>10.8653995352481</v>
      </c>
      <c r="BE20" s="1"/>
      <c r="BF20" s="2">
        <v>17</v>
      </c>
      <c r="BG20" s="8">
        <v>1149.57</v>
      </c>
      <c r="BH20" s="8">
        <f t="shared" ref="BH20:BL20" si="82">BG20/2039.76*100</f>
        <v>56.3581009530533</v>
      </c>
      <c r="BI20" s="8">
        <v>1140.574</v>
      </c>
      <c r="BJ20" s="8">
        <f t="shared" si="82"/>
        <v>55.917068674746</v>
      </c>
      <c r="BK20" s="8">
        <v>343.07</v>
      </c>
      <c r="BL20" s="8">
        <f t="shared" si="82"/>
        <v>16.8191355845786</v>
      </c>
      <c r="BM20" s="8">
        <f t="shared" si="33"/>
        <v>1660.57142857143</v>
      </c>
      <c r="BN20" s="8">
        <f t="shared" si="34"/>
        <v>81.4101378873705</v>
      </c>
      <c r="BO20" s="7">
        <f t="shared" si="35"/>
        <v>1.44451527838359</v>
      </c>
      <c r="BP20" s="7">
        <f t="shared" si="36"/>
        <v>1.45590854128836</v>
      </c>
      <c r="BQ20" s="7">
        <f t="shared" si="37"/>
        <v>4.84032829618279</v>
      </c>
    </row>
    <row r="21" ht="20.4" spans="1:69">
      <c r="A21" s="1"/>
      <c r="B21" s="2">
        <v>18</v>
      </c>
      <c r="C21" s="2">
        <v>3456</v>
      </c>
      <c r="D21" s="2">
        <v>78208</v>
      </c>
      <c r="E21" s="2">
        <v>1920</v>
      </c>
      <c r="F21" s="2">
        <v>4539</v>
      </c>
      <c r="G21" s="2">
        <v>63.5</v>
      </c>
      <c r="H21" s="2">
        <v>5906</v>
      </c>
      <c r="I21" s="2">
        <v>82.6</v>
      </c>
      <c r="J21" s="5">
        <v>19.1</v>
      </c>
      <c r="K21" s="7">
        <f t="shared" si="0"/>
        <v>1.30116765807447</v>
      </c>
      <c r="L21" s="7">
        <f t="shared" si="1"/>
        <v>1.94859741238405</v>
      </c>
      <c r="M21" s="7">
        <f t="shared" si="2"/>
        <v>1.96420268868951</v>
      </c>
      <c r="N21" s="7">
        <f t="shared" si="3"/>
        <v>2.23698089241069</v>
      </c>
      <c r="O21" s="7">
        <f t="shared" si="4"/>
        <v>20.9885142434753</v>
      </c>
      <c r="P21" s="8">
        <f t="shared" si="5"/>
        <v>3030.898</v>
      </c>
      <c r="Q21" s="8">
        <f t="shared" si="25"/>
        <v>42.4352878584229</v>
      </c>
      <c r="R21" s="8">
        <f t="shared" si="6"/>
        <v>3006.818</v>
      </c>
      <c r="S21" s="8">
        <f t="shared" si="26"/>
        <v>42.098146281362</v>
      </c>
      <c r="T21" s="8">
        <f t="shared" si="7"/>
        <v>2640.1656</v>
      </c>
      <c r="U21" s="8">
        <f t="shared" si="27"/>
        <v>36.9646841397849</v>
      </c>
      <c r="V21" s="8">
        <f t="shared" si="8"/>
        <v>281.392</v>
      </c>
      <c r="W21" s="8">
        <f t="shared" si="28"/>
        <v>3.93974014336918</v>
      </c>
      <c r="X21" s="1"/>
      <c r="Y21" s="2">
        <v>18</v>
      </c>
      <c r="Z21" s="2">
        <v>352.43</v>
      </c>
      <c r="AA21" s="8">
        <f t="shared" si="9"/>
        <v>47.0659722222222</v>
      </c>
      <c r="AB21" s="2">
        <v>349.63</v>
      </c>
      <c r="AC21" s="8">
        <f t="shared" ref="AC21:AG21" si="83">AB21/748.8*100</f>
        <v>46.6920405982906</v>
      </c>
      <c r="AD21" s="2">
        <v>306.996</v>
      </c>
      <c r="AE21" s="8">
        <f t="shared" si="83"/>
        <v>40.9983974358974</v>
      </c>
      <c r="AF21" s="2">
        <v>32.72</v>
      </c>
      <c r="AG21" s="8">
        <f t="shared" si="83"/>
        <v>4.36965811965812</v>
      </c>
      <c r="AH21" s="8">
        <f t="shared" si="11"/>
        <v>621.684210526316</v>
      </c>
      <c r="AI21" s="8">
        <f t="shared" si="12"/>
        <v>83.0240665766982</v>
      </c>
      <c r="AJ21" s="7">
        <f t="shared" si="13"/>
        <v>1.7639934470003</v>
      </c>
      <c r="AK21" s="7">
        <f t="shared" si="14"/>
        <v>1.77812032870839</v>
      </c>
      <c r="AL21" s="7">
        <f t="shared" si="15"/>
        <v>2.02505638681389</v>
      </c>
      <c r="AM21" s="7">
        <f t="shared" si="16"/>
        <v>19.0001286835671</v>
      </c>
      <c r="AN21" s="1"/>
      <c r="AO21" s="2">
        <v>18</v>
      </c>
      <c r="AP21" s="8">
        <v>1060.47</v>
      </c>
      <c r="AQ21" s="8">
        <f t="shared" ref="AQ21:AU21" si="84">AP21/1728*100</f>
        <v>61.3697916666667</v>
      </c>
      <c r="AR21" s="8">
        <v>632.708</v>
      </c>
      <c r="AS21" s="8">
        <f t="shared" si="84"/>
        <v>36.6150462962963</v>
      </c>
      <c r="AT21" s="8">
        <v>624.202</v>
      </c>
      <c r="AU21" s="8">
        <f t="shared" si="84"/>
        <v>36.1228009259259</v>
      </c>
      <c r="AV21" s="8">
        <v>150.28</v>
      </c>
      <c r="AW21" s="8">
        <f t="shared" si="18"/>
        <v>17.3935185185185</v>
      </c>
      <c r="AX21" s="8">
        <f t="shared" si="19"/>
        <v>1596.21621621622</v>
      </c>
      <c r="AY21" s="8">
        <f t="shared" si="31"/>
        <v>92.3736236236236</v>
      </c>
      <c r="AZ21" s="7">
        <f t="shared" si="20"/>
        <v>1.50519695627054</v>
      </c>
      <c r="BA21" s="7">
        <f t="shared" si="21"/>
        <v>2.52283235902852</v>
      </c>
      <c r="BB21" s="7">
        <f t="shared" si="22"/>
        <v>2.55721099294173</v>
      </c>
      <c r="BC21" s="7">
        <f t="shared" si="23"/>
        <v>10.6216144278428</v>
      </c>
      <c r="BE21" s="1"/>
      <c r="BF21" s="2">
        <v>18</v>
      </c>
      <c r="BG21" s="8">
        <v>1152.63</v>
      </c>
      <c r="BH21" s="8">
        <f t="shared" ref="BH21:BL21" si="85">BG21/2039.76*100</f>
        <v>56.5081186021885</v>
      </c>
      <c r="BI21" s="8">
        <v>1140.697</v>
      </c>
      <c r="BJ21" s="8">
        <f t="shared" si="85"/>
        <v>55.9230987959368</v>
      </c>
      <c r="BK21" s="8">
        <v>344.52</v>
      </c>
      <c r="BL21" s="8">
        <f t="shared" si="85"/>
        <v>16.8902223791034</v>
      </c>
      <c r="BM21" s="8">
        <f t="shared" si="33"/>
        <v>1687.42857142857</v>
      </c>
      <c r="BN21" s="8">
        <f t="shared" si="34"/>
        <v>82.7268194017223</v>
      </c>
      <c r="BO21" s="7">
        <f t="shared" si="35"/>
        <v>1.46398113135054</v>
      </c>
      <c r="BP21" s="7">
        <f t="shared" si="36"/>
        <v>1.47929605445493</v>
      </c>
      <c r="BQ21" s="7">
        <f t="shared" si="37"/>
        <v>4.89791179446352</v>
      </c>
    </row>
    <row r="22" ht="20.4" spans="1:69">
      <c r="A22" s="1"/>
      <c r="B22" s="2">
        <v>19</v>
      </c>
      <c r="C22" s="2">
        <v>3456</v>
      </c>
      <c r="D22" s="2">
        <v>80512</v>
      </c>
      <c r="E22" s="2">
        <v>1920</v>
      </c>
      <c r="F22" s="2">
        <v>4538</v>
      </c>
      <c r="G22" s="2">
        <v>63.5</v>
      </c>
      <c r="H22" s="2">
        <v>5799</v>
      </c>
      <c r="I22" s="2">
        <v>81.1</v>
      </c>
      <c r="J22" s="5">
        <v>17.6</v>
      </c>
      <c r="K22" s="7">
        <f t="shared" si="0"/>
        <v>1.27787571617453</v>
      </c>
      <c r="L22" s="7">
        <f t="shared" si="1"/>
        <v>1.90561629385727</v>
      </c>
      <c r="M22" s="7">
        <f t="shared" si="2"/>
        <v>1.92015378713332</v>
      </c>
      <c r="N22" s="7">
        <f t="shared" si="3"/>
        <v>2.1136811263985</v>
      </c>
      <c r="O22" s="7">
        <f t="shared" si="4"/>
        <v>18.484164626683</v>
      </c>
      <c r="P22" s="8">
        <f t="shared" si="5"/>
        <v>3043.11</v>
      </c>
      <c r="Q22" s="8">
        <f t="shared" si="25"/>
        <v>42.6062668010753</v>
      </c>
      <c r="R22" s="8">
        <f t="shared" si="6"/>
        <v>3020.0706</v>
      </c>
      <c r="S22" s="8">
        <f t="shared" si="26"/>
        <v>42.2836945564516</v>
      </c>
      <c r="T22" s="8">
        <f t="shared" si="7"/>
        <v>2743.5548</v>
      </c>
      <c r="U22" s="8">
        <f t="shared" si="27"/>
        <v>38.4122255824373</v>
      </c>
      <c r="V22" s="8">
        <f t="shared" si="8"/>
        <v>313.728</v>
      </c>
      <c r="W22" s="8">
        <f t="shared" si="28"/>
        <v>4.39247311827957</v>
      </c>
      <c r="X22" s="1"/>
      <c r="Y22" s="2">
        <v>19</v>
      </c>
      <c r="Z22" s="2">
        <v>353.85</v>
      </c>
      <c r="AA22" s="8">
        <f t="shared" si="9"/>
        <v>47.255608974359</v>
      </c>
      <c r="AB22" s="2">
        <v>351.171</v>
      </c>
      <c r="AC22" s="8">
        <f t="shared" ref="AC22:AG22" si="86">AB22/748.8*100</f>
        <v>46.8978365384615</v>
      </c>
      <c r="AD22" s="2">
        <v>319.018</v>
      </c>
      <c r="AE22" s="8">
        <f t="shared" si="86"/>
        <v>42.6038995726496</v>
      </c>
      <c r="AF22" s="2">
        <v>36.48</v>
      </c>
      <c r="AG22" s="8">
        <f t="shared" si="86"/>
        <v>4.87179487179487</v>
      </c>
      <c r="AH22" s="8">
        <f t="shared" si="11"/>
        <v>610.421052631579</v>
      </c>
      <c r="AI22" s="8">
        <f t="shared" si="12"/>
        <v>81.5199055330634</v>
      </c>
      <c r="AJ22" s="7">
        <f t="shared" si="13"/>
        <v>1.7250842239129</v>
      </c>
      <c r="AK22" s="7">
        <f t="shared" si="14"/>
        <v>1.73824448098385</v>
      </c>
      <c r="AL22" s="7">
        <f t="shared" si="15"/>
        <v>1.91343765126601</v>
      </c>
      <c r="AM22" s="7">
        <f t="shared" si="16"/>
        <v>16.7330332409972</v>
      </c>
      <c r="AN22" s="1"/>
      <c r="AO22" s="2">
        <v>19</v>
      </c>
      <c r="AP22" s="8">
        <v>1057.01</v>
      </c>
      <c r="AQ22" s="8">
        <f t="shared" ref="AQ22:AU22" si="87">AP22/1728*100</f>
        <v>61.1695601851852</v>
      </c>
      <c r="AR22" s="8">
        <v>628.576</v>
      </c>
      <c r="AS22" s="8">
        <f t="shared" si="87"/>
        <v>36.3759259259259</v>
      </c>
      <c r="AT22" s="8">
        <v>615.137</v>
      </c>
      <c r="AU22" s="8">
        <f t="shared" si="87"/>
        <v>35.5982060185185</v>
      </c>
      <c r="AV22" s="8">
        <v>150.76</v>
      </c>
      <c r="AW22" s="8">
        <f t="shared" si="18"/>
        <v>17.4490740740741</v>
      </c>
      <c r="AX22" s="8">
        <f t="shared" si="19"/>
        <v>1567.2972972973</v>
      </c>
      <c r="AY22" s="8">
        <f t="shared" si="31"/>
        <v>90.7000750750751</v>
      </c>
      <c r="AZ22" s="7">
        <f t="shared" si="20"/>
        <v>1.48276487194757</v>
      </c>
      <c r="BA22" s="7">
        <f t="shared" si="21"/>
        <v>2.49340938454109</v>
      </c>
      <c r="BB22" s="7">
        <f t="shared" si="22"/>
        <v>2.54788331265604</v>
      </c>
      <c r="BC22" s="7">
        <f t="shared" si="23"/>
        <v>10.3959757050763</v>
      </c>
      <c r="BE22" s="1"/>
      <c r="BF22" s="2">
        <v>19</v>
      </c>
      <c r="BG22" s="8">
        <v>1148.09</v>
      </c>
      <c r="BH22" s="8">
        <f t="shared" ref="BH22:BL22" si="88">BG22/2039.76*100</f>
        <v>56.2855433972624</v>
      </c>
      <c r="BI22" s="8">
        <v>1142.082</v>
      </c>
      <c r="BJ22" s="8">
        <f t="shared" si="88"/>
        <v>55.9909989410519</v>
      </c>
      <c r="BK22" s="8">
        <v>340.47</v>
      </c>
      <c r="BL22" s="8">
        <f t="shared" si="88"/>
        <v>16.6916696081892</v>
      </c>
      <c r="BM22" s="8">
        <f t="shared" si="33"/>
        <v>1656.85714285714</v>
      </c>
      <c r="BN22" s="8">
        <f t="shared" si="34"/>
        <v>81.2280436353857</v>
      </c>
      <c r="BO22" s="7">
        <f t="shared" si="35"/>
        <v>1.44314221259408</v>
      </c>
      <c r="BP22" s="7">
        <f t="shared" si="36"/>
        <v>1.45073396030858</v>
      </c>
      <c r="BQ22" s="7">
        <f t="shared" si="37"/>
        <v>4.86638218596981</v>
      </c>
    </row>
    <row r="23" ht="20.4" spans="1:69">
      <c r="A23" s="1"/>
      <c r="B23" s="2">
        <v>20</v>
      </c>
      <c r="C23" s="2">
        <v>3456</v>
      </c>
      <c r="D23" s="2">
        <v>45568</v>
      </c>
      <c r="E23" s="2">
        <v>1920</v>
      </c>
      <c r="F23" s="2">
        <v>4549</v>
      </c>
      <c r="G23" s="2">
        <v>63.6</v>
      </c>
      <c r="H23" s="2">
        <v>5797</v>
      </c>
      <c r="I23" s="2">
        <v>81.1</v>
      </c>
      <c r="J23" s="5">
        <v>17.5</v>
      </c>
      <c r="K23" s="7">
        <f t="shared" si="0"/>
        <v>1.27434601011211</v>
      </c>
      <c r="L23" s="7">
        <f t="shared" si="1"/>
        <v>1.92135725976074</v>
      </c>
      <c r="M23" s="7">
        <f t="shared" si="2"/>
        <v>1.90794081874983</v>
      </c>
      <c r="N23" s="7">
        <f t="shared" si="3"/>
        <v>2.16870302281362</v>
      </c>
      <c r="O23" s="7">
        <f t="shared" si="4"/>
        <v>25.1237334119218</v>
      </c>
      <c r="P23" s="8">
        <f t="shared" si="5"/>
        <v>3017.138</v>
      </c>
      <c r="Q23" s="8">
        <f t="shared" si="25"/>
        <v>42.2426355286738</v>
      </c>
      <c r="R23" s="8">
        <f t="shared" si="6"/>
        <v>3038.3542</v>
      </c>
      <c r="S23" s="8">
        <f t="shared" si="26"/>
        <v>42.5396813396057</v>
      </c>
      <c r="T23" s="8">
        <f t="shared" si="7"/>
        <v>2673.0262</v>
      </c>
      <c r="U23" s="8">
        <f t="shared" si="27"/>
        <v>37.424761984767</v>
      </c>
      <c r="V23" s="8">
        <f t="shared" si="8"/>
        <v>230.738</v>
      </c>
      <c r="W23" s="8">
        <f t="shared" si="28"/>
        <v>3.23053875448029</v>
      </c>
      <c r="X23" s="1"/>
      <c r="Y23" s="2">
        <v>20</v>
      </c>
      <c r="Z23" s="2">
        <v>350.83</v>
      </c>
      <c r="AA23" s="8">
        <f t="shared" si="9"/>
        <v>46.852297008547</v>
      </c>
      <c r="AB23" s="2">
        <v>353.297</v>
      </c>
      <c r="AC23" s="8">
        <f t="shared" ref="AC23:AG23" si="89">AB23/748.8*100</f>
        <v>47.1817574786325</v>
      </c>
      <c r="AD23" s="2">
        <v>310.817</v>
      </c>
      <c r="AE23" s="8">
        <f t="shared" si="89"/>
        <v>41.5086805555556</v>
      </c>
      <c r="AF23" s="2">
        <v>26.83</v>
      </c>
      <c r="AG23" s="8">
        <f t="shared" si="89"/>
        <v>3.58306623931624</v>
      </c>
      <c r="AH23" s="8">
        <f t="shared" si="11"/>
        <v>610.210526315789</v>
      </c>
      <c r="AI23" s="8">
        <f t="shared" si="12"/>
        <v>81.4917903733693</v>
      </c>
      <c r="AJ23" s="7">
        <f t="shared" si="13"/>
        <v>1.73933394041499</v>
      </c>
      <c r="AK23" s="7">
        <f t="shared" si="14"/>
        <v>1.72718853065775</v>
      </c>
      <c r="AL23" s="7">
        <f t="shared" si="15"/>
        <v>1.96324694696812</v>
      </c>
      <c r="AM23" s="7">
        <f t="shared" si="16"/>
        <v>22.7435902465818</v>
      </c>
      <c r="AN23" s="1"/>
      <c r="AO23" s="2">
        <v>20</v>
      </c>
      <c r="AP23" s="8">
        <v>1111.71</v>
      </c>
      <c r="AQ23" s="8">
        <f t="shared" ref="AQ23:AU23" si="90">AP23/1728*100</f>
        <v>64.3350694444444</v>
      </c>
      <c r="AR23" s="8">
        <v>640.488</v>
      </c>
      <c r="AS23" s="8">
        <f t="shared" si="90"/>
        <v>37.0652777777778</v>
      </c>
      <c r="AT23" s="8">
        <v>619.853</v>
      </c>
      <c r="AU23" s="8">
        <f t="shared" si="90"/>
        <v>35.8711226851852</v>
      </c>
      <c r="AV23" s="8">
        <v>164.41</v>
      </c>
      <c r="AW23" s="8">
        <f t="shared" si="18"/>
        <v>19.0289351851852</v>
      </c>
      <c r="AX23" s="8">
        <f t="shared" si="19"/>
        <v>1566.75675675676</v>
      </c>
      <c r="AY23" s="8">
        <f t="shared" si="31"/>
        <v>90.6687937937938</v>
      </c>
      <c r="AZ23" s="7">
        <f t="shared" si="20"/>
        <v>1.40932145681586</v>
      </c>
      <c r="BA23" s="7">
        <f t="shared" si="21"/>
        <v>2.44619221087164</v>
      </c>
      <c r="BB23" s="7">
        <f t="shared" si="22"/>
        <v>2.52762631907365</v>
      </c>
      <c r="BC23" s="7">
        <f t="shared" si="23"/>
        <v>9.52957093094554</v>
      </c>
      <c r="BE23" s="1"/>
      <c r="BF23" s="2">
        <v>20</v>
      </c>
      <c r="BG23" s="8">
        <v>1131.51</v>
      </c>
      <c r="BH23" s="8">
        <f t="shared" ref="BH23:BL23" si="91">BG23/2039.76*100</f>
        <v>55.4727026709025</v>
      </c>
      <c r="BI23" s="8">
        <v>1148.794</v>
      </c>
      <c r="BJ23" s="8">
        <f t="shared" si="91"/>
        <v>56.3200572616386</v>
      </c>
      <c r="BK23" s="8">
        <v>353.34</v>
      </c>
      <c r="BL23" s="8">
        <f t="shared" si="91"/>
        <v>17.3226261913166</v>
      </c>
      <c r="BM23" s="8">
        <f t="shared" si="33"/>
        <v>1656.28571428571</v>
      </c>
      <c r="BN23" s="8">
        <f t="shared" si="34"/>
        <v>81.2000291350803</v>
      </c>
      <c r="BO23" s="7">
        <f t="shared" si="35"/>
        <v>1.46378354083103</v>
      </c>
      <c r="BP23" s="7">
        <f t="shared" si="36"/>
        <v>1.44176041508374</v>
      </c>
      <c r="BQ23" s="7">
        <f t="shared" si="37"/>
        <v>4.6875126345325</v>
      </c>
    </row>
    <row r="24" ht="20.4" spans="1:69">
      <c r="A24" s="1"/>
      <c r="B24" s="2">
        <v>21</v>
      </c>
      <c r="C24" s="2">
        <v>3456</v>
      </c>
      <c r="D24" s="2">
        <v>45184</v>
      </c>
      <c r="E24" s="2">
        <v>1920</v>
      </c>
      <c r="F24" s="2">
        <v>4561</v>
      </c>
      <c r="G24" s="2">
        <v>63.8</v>
      </c>
      <c r="H24" s="2">
        <v>5812</v>
      </c>
      <c r="I24" s="2">
        <v>81.3</v>
      </c>
      <c r="J24" s="5">
        <v>17.5</v>
      </c>
      <c r="K24" s="7">
        <f t="shared" si="0"/>
        <v>1.27428195571147</v>
      </c>
      <c r="L24" s="7">
        <f t="shared" si="1"/>
        <v>1.91611554717429</v>
      </c>
      <c r="M24" s="7">
        <f t="shared" si="2"/>
        <v>1.93037305156707</v>
      </c>
      <c r="N24" s="7">
        <f t="shared" si="3"/>
        <v>2.17311907047337</v>
      </c>
      <c r="O24" s="7">
        <f t="shared" si="4"/>
        <v>17.4945367198647</v>
      </c>
      <c r="P24" s="8">
        <f t="shared" si="5"/>
        <v>3033.22</v>
      </c>
      <c r="Q24" s="8">
        <f t="shared" si="25"/>
        <v>42.4677979390681</v>
      </c>
      <c r="R24" s="8">
        <f t="shared" si="6"/>
        <v>3010.817</v>
      </c>
      <c r="S24" s="8">
        <f t="shared" si="26"/>
        <v>42.1541358646953</v>
      </c>
      <c r="T24" s="8">
        <f t="shared" si="7"/>
        <v>2674.4968</v>
      </c>
      <c r="U24" s="8">
        <f t="shared" si="27"/>
        <v>37.445351702509</v>
      </c>
      <c r="V24" s="8">
        <f t="shared" si="8"/>
        <v>332.218</v>
      </c>
      <c r="W24" s="8">
        <f t="shared" si="28"/>
        <v>4.65134968637993</v>
      </c>
      <c r="X24" s="1"/>
      <c r="Y24" s="2">
        <v>21</v>
      </c>
      <c r="Z24" s="2">
        <v>352.7</v>
      </c>
      <c r="AA24" s="8">
        <f t="shared" si="9"/>
        <v>47.1020299145299</v>
      </c>
      <c r="AB24" s="2">
        <v>350.095</v>
      </c>
      <c r="AC24" s="8">
        <f t="shared" ref="AC24:AG24" si="92">AB24/748.8*100</f>
        <v>46.754139957265</v>
      </c>
      <c r="AD24" s="2">
        <v>310.988</v>
      </c>
      <c r="AE24" s="8">
        <f t="shared" si="92"/>
        <v>41.5315170940171</v>
      </c>
      <c r="AF24" s="2">
        <v>38.63</v>
      </c>
      <c r="AG24" s="8">
        <f t="shared" si="92"/>
        <v>5.15892094017094</v>
      </c>
      <c r="AH24" s="8">
        <f t="shared" si="11"/>
        <v>611.789473684211</v>
      </c>
      <c r="AI24" s="8">
        <f t="shared" si="12"/>
        <v>81.7026540710751</v>
      </c>
      <c r="AJ24" s="7">
        <f t="shared" si="13"/>
        <v>1.7345888111262</v>
      </c>
      <c r="AK24" s="7">
        <f t="shared" si="14"/>
        <v>1.7474956045765</v>
      </c>
      <c r="AL24" s="7">
        <f t="shared" si="15"/>
        <v>1.967244632218</v>
      </c>
      <c r="AM24" s="7">
        <f t="shared" si="16"/>
        <v>15.8371595569301</v>
      </c>
      <c r="AN24" s="1"/>
      <c r="AO24" s="2">
        <v>21</v>
      </c>
      <c r="AP24" s="8">
        <v>1042.67</v>
      </c>
      <c r="AQ24" s="8">
        <f t="shared" ref="AQ24:AU24" si="93">AP24/1728*100</f>
        <v>60.3396990740741</v>
      </c>
      <c r="AR24" s="8">
        <v>636.068</v>
      </c>
      <c r="AS24" s="8">
        <f t="shared" si="93"/>
        <v>36.8094907407407</v>
      </c>
      <c r="AT24" s="8">
        <v>623.021</v>
      </c>
      <c r="AU24" s="8">
        <f t="shared" si="93"/>
        <v>36.0544560185185</v>
      </c>
      <c r="AV24" s="8">
        <v>153.82</v>
      </c>
      <c r="AW24" s="8">
        <f t="shared" si="18"/>
        <v>17.8032407407407</v>
      </c>
      <c r="AX24" s="8">
        <f t="shared" si="19"/>
        <v>1570.81081081081</v>
      </c>
      <c r="AY24" s="8">
        <f t="shared" si="31"/>
        <v>90.9034034034034</v>
      </c>
      <c r="AZ24" s="7">
        <f t="shared" si="20"/>
        <v>1.50652729129141</v>
      </c>
      <c r="BA24" s="7">
        <f t="shared" si="21"/>
        <v>2.4695642774213</v>
      </c>
      <c r="BB24" s="7">
        <f t="shared" si="22"/>
        <v>2.52128068044385</v>
      </c>
      <c r="BC24" s="7">
        <f t="shared" si="23"/>
        <v>10.2120063113432</v>
      </c>
      <c r="BE24" s="1"/>
      <c r="BF24" s="2">
        <v>21</v>
      </c>
      <c r="BG24" s="8">
        <v>1143.96</v>
      </c>
      <c r="BH24" s="8">
        <f t="shared" ref="BH24:BL24" si="94">BG24/2039.76*100</f>
        <v>56.0830685963055</v>
      </c>
      <c r="BI24" s="8">
        <v>1157.457</v>
      </c>
      <c r="BJ24" s="8">
        <f t="shared" si="94"/>
        <v>56.7447640898929</v>
      </c>
      <c r="BK24" s="8">
        <v>349.25</v>
      </c>
      <c r="BL24" s="8">
        <f t="shared" si="94"/>
        <v>17.122112405381</v>
      </c>
      <c r="BM24" s="8">
        <f t="shared" si="33"/>
        <v>1660.57142857143</v>
      </c>
      <c r="BN24" s="8">
        <f t="shared" si="34"/>
        <v>81.4101378873705</v>
      </c>
      <c r="BO24" s="7">
        <f t="shared" si="35"/>
        <v>1.45159920676547</v>
      </c>
      <c r="BP24" s="7">
        <f t="shared" si="36"/>
        <v>1.43467224144951</v>
      </c>
      <c r="BQ24" s="7">
        <f t="shared" si="37"/>
        <v>4.75467839247367</v>
      </c>
    </row>
    <row r="25" ht="20.4" spans="1:69">
      <c r="A25" s="1"/>
      <c r="B25" s="2">
        <v>22</v>
      </c>
      <c r="C25" s="2">
        <v>3456</v>
      </c>
      <c r="D25" s="2">
        <v>37888</v>
      </c>
      <c r="E25" s="2">
        <v>1920</v>
      </c>
      <c r="F25" s="2">
        <v>4534</v>
      </c>
      <c r="G25" s="2">
        <v>63.4</v>
      </c>
      <c r="H25" s="2">
        <v>5652</v>
      </c>
      <c r="I25" s="2">
        <v>79.1</v>
      </c>
      <c r="J25" s="5">
        <v>15.7</v>
      </c>
      <c r="K25" s="7">
        <f t="shared" si="0"/>
        <v>1.24658138509043</v>
      </c>
      <c r="L25" s="7">
        <f t="shared" si="1"/>
        <v>1.87854595491091</v>
      </c>
      <c r="M25" s="7">
        <f t="shared" si="2"/>
        <v>1.85623505479539</v>
      </c>
      <c r="N25" s="7">
        <f t="shared" si="3"/>
        <v>2.14671155466355</v>
      </c>
      <c r="O25" s="7">
        <f t="shared" si="4"/>
        <v>25.9356472898809</v>
      </c>
      <c r="P25" s="8">
        <f t="shared" si="5"/>
        <v>3008.71</v>
      </c>
      <c r="Q25" s="8">
        <f t="shared" si="25"/>
        <v>42.1246359767025</v>
      </c>
      <c r="R25" s="8">
        <f t="shared" si="6"/>
        <v>3044.873</v>
      </c>
      <c r="S25" s="8">
        <f t="shared" si="26"/>
        <v>42.6309503808244</v>
      </c>
      <c r="T25" s="8">
        <f t="shared" si="7"/>
        <v>2632.8642</v>
      </c>
      <c r="U25" s="8">
        <f t="shared" si="27"/>
        <v>36.8624579973118</v>
      </c>
      <c r="V25" s="8">
        <f t="shared" si="8"/>
        <v>217.924</v>
      </c>
      <c r="W25" s="8">
        <f t="shared" si="28"/>
        <v>3.05113127240143</v>
      </c>
      <c r="X25" s="1"/>
      <c r="Y25" s="2">
        <v>22</v>
      </c>
      <c r="Z25" s="2">
        <v>349.85</v>
      </c>
      <c r="AA25" s="8">
        <f t="shared" si="9"/>
        <v>46.7214209401709</v>
      </c>
      <c r="AB25" s="2">
        <v>354.055</v>
      </c>
      <c r="AC25" s="8">
        <f t="shared" ref="AC25:AG25" si="95">AB25/748.8*100</f>
        <v>47.2829861111111</v>
      </c>
      <c r="AD25" s="2">
        <v>306.147</v>
      </c>
      <c r="AE25" s="8">
        <f t="shared" si="95"/>
        <v>40.885016025641</v>
      </c>
      <c r="AF25" s="2">
        <v>25.34</v>
      </c>
      <c r="AG25" s="8">
        <f t="shared" si="95"/>
        <v>3.3840811965812</v>
      </c>
      <c r="AH25" s="8">
        <f t="shared" si="11"/>
        <v>594.947368421053</v>
      </c>
      <c r="AI25" s="8">
        <f t="shared" si="12"/>
        <v>79.4534412955466</v>
      </c>
      <c r="AJ25" s="7">
        <f t="shared" si="13"/>
        <v>1.70057844339303</v>
      </c>
      <c r="AK25" s="7">
        <f t="shared" si="14"/>
        <v>1.68038120749898</v>
      </c>
      <c r="AL25" s="7">
        <f t="shared" si="15"/>
        <v>1.94333888106384</v>
      </c>
      <c r="AM25" s="7">
        <f t="shared" si="16"/>
        <v>23.4785859676816</v>
      </c>
      <c r="AN25" s="1"/>
      <c r="AO25" s="2">
        <v>22</v>
      </c>
      <c r="AP25" s="8">
        <v>1095.72</v>
      </c>
      <c r="AQ25" s="8">
        <f t="shared" ref="AQ25:AU25" si="96">AP25/1728*100</f>
        <v>63.4097222222222</v>
      </c>
      <c r="AR25" s="8">
        <v>632.11</v>
      </c>
      <c r="AS25" s="8">
        <f t="shared" si="96"/>
        <v>36.5804398148148</v>
      </c>
      <c r="AT25" s="8">
        <v>614.246</v>
      </c>
      <c r="AU25" s="8">
        <f t="shared" si="96"/>
        <v>35.5466435185185</v>
      </c>
      <c r="AV25" s="8">
        <v>162.13</v>
      </c>
      <c r="AW25" s="8">
        <f t="shared" si="18"/>
        <v>18.7650462962963</v>
      </c>
      <c r="AX25" s="8">
        <f t="shared" si="19"/>
        <v>1527.56756756757</v>
      </c>
      <c r="AY25" s="8">
        <f t="shared" si="31"/>
        <v>88.4009009009009</v>
      </c>
      <c r="AZ25" s="7">
        <f t="shared" si="20"/>
        <v>1.39412219140617</v>
      </c>
      <c r="BA25" s="7">
        <f t="shared" si="21"/>
        <v>2.41661667679291</v>
      </c>
      <c r="BB25" s="7">
        <f t="shared" si="22"/>
        <v>2.4868986815829</v>
      </c>
      <c r="BC25" s="7">
        <f t="shared" si="23"/>
        <v>9.42186867061967</v>
      </c>
      <c r="BE25" s="1"/>
      <c r="BF25" s="2">
        <v>22</v>
      </c>
      <c r="BG25" s="8">
        <v>1108.65</v>
      </c>
      <c r="BH25" s="8">
        <f t="shared" ref="BH25:BL25" si="97">BG25/2039.76*100</f>
        <v>54.3519825861866</v>
      </c>
      <c r="BI25" s="8">
        <v>1155.142</v>
      </c>
      <c r="BJ25" s="8">
        <f t="shared" si="97"/>
        <v>56.6312703455309</v>
      </c>
      <c r="BK25" s="8">
        <v>364.24</v>
      </c>
      <c r="BL25" s="8">
        <f t="shared" si="97"/>
        <v>17.8570027846413</v>
      </c>
      <c r="BM25" s="8">
        <f t="shared" si="33"/>
        <v>1614.85714285714</v>
      </c>
      <c r="BN25" s="8">
        <f t="shared" si="34"/>
        <v>79.1689778629419</v>
      </c>
      <c r="BO25" s="7">
        <f t="shared" si="35"/>
        <v>1.45659779268222</v>
      </c>
      <c r="BP25" s="7">
        <f t="shared" si="36"/>
        <v>1.39797284044485</v>
      </c>
      <c r="BQ25" s="7">
        <f t="shared" si="37"/>
        <v>4.43349753694581</v>
      </c>
    </row>
    <row r="26" ht="20.4" spans="3:70">
      <c r="C26" s="3"/>
      <c r="D26" s="3"/>
      <c r="E26" s="3"/>
      <c r="F26" s="3"/>
      <c r="G26" s="3"/>
      <c r="H26" s="3"/>
      <c r="I26" s="3"/>
      <c r="J26" s="3"/>
      <c r="K26" s="3">
        <f>MAX(K4:K25)</f>
        <v>1.42957351290685</v>
      </c>
      <c r="L26" s="3">
        <f>MAX(L4:L25)</f>
        <v>1.96184477035812</v>
      </c>
      <c r="M26" s="3">
        <f>MAX(M4:M25)</f>
        <v>1.96420268868951</v>
      </c>
      <c r="N26" s="3">
        <f>MAX(N4:N25)</f>
        <v>2.26721590482595</v>
      </c>
      <c r="O26" s="3">
        <f>MAX(O4:O25)</f>
        <v>25.9356472898809</v>
      </c>
      <c r="P26" s="3"/>
      <c r="Q26" s="3"/>
      <c r="R26" s="3"/>
      <c r="S26" s="3"/>
      <c r="T26" s="3"/>
      <c r="U26" s="3"/>
      <c r="V26" s="3"/>
      <c r="W26" s="2"/>
      <c r="X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f>MAX(AJ4:AJ25)</f>
        <v>1.77598579211366</v>
      </c>
      <c r="AK26" s="3">
        <f>MAX(AK4:AK25)</f>
        <v>1.77812032870839</v>
      </c>
      <c r="AL26" s="3">
        <f>MAX(AL4:AL25)</f>
        <v>2.05242702963191</v>
      </c>
      <c r="AM26" s="3">
        <f>MAX(AM4:AM25)</f>
        <v>23.4785859676816</v>
      </c>
      <c r="AN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f>MAX(AZ4:AZ25)</f>
        <v>1.51090348753024</v>
      </c>
      <c r="BA26" s="3">
        <f>MAX(BA4:BA25)</f>
        <v>2.55557986905848</v>
      </c>
      <c r="BB26" s="3">
        <f>MAX(BB4:BB25)</f>
        <v>2.57695014728881</v>
      </c>
      <c r="BC26" s="3">
        <f>MAX(BC4:BC25)</f>
        <v>10.8653995352481</v>
      </c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f>MAX(BO4:BO25)</f>
        <v>1.4866347806282</v>
      </c>
      <c r="BP26" s="3">
        <f>MAX(BP4:BP25)</f>
        <v>1.47929605445493</v>
      </c>
      <c r="BQ26" s="3">
        <f>MAX(BQ4:BQ25)</f>
        <v>4.98285040927551</v>
      </c>
      <c r="BR26" s="3"/>
    </row>
    <row r="27" ht="20.4" spans="1:69">
      <c r="A27" s="1" t="s">
        <v>33</v>
      </c>
      <c r="B27" s="2" t="s">
        <v>26</v>
      </c>
      <c r="C27" s="2" t="s">
        <v>0</v>
      </c>
      <c r="D27" s="2" t="s">
        <v>1</v>
      </c>
      <c r="E27" s="2" t="s">
        <v>2</v>
      </c>
      <c r="F27" s="2" t="s">
        <v>27</v>
      </c>
      <c r="G27" s="2" t="s">
        <v>23</v>
      </c>
      <c r="H27" s="2" t="s">
        <v>28</v>
      </c>
      <c r="I27" s="2" t="s">
        <v>23</v>
      </c>
      <c r="J27" s="5" t="s">
        <v>7</v>
      </c>
      <c r="K27" s="6" t="s">
        <v>14</v>
      </c>
      <c r="L27" s="6" t="s">
        <v>15</v>
      </c>
      <c r="M27" s="6" t="s">
        <v>16</v>
      </c>
      <c r="N27" s="6" t="s">
        <v>17</v>
      </c>
      <c r="O27" s="6" t="s">
        <v>18</v>
      </c>
      <c r="P27" s="2" t="s">
        <v>19</v>
      </c>
      <c r="Q27" s="2" t="s">
        <v>23</v>
      </c>
      <c r="R27" s="2" t="s">
        <v>20</v>
      </c>
      <c r="S27" s="2" t="s">
        <v>23</v>
      </c>
      <c r="T27" s="2" t="s">
        <v>21</v>
      </c>
      <c r="U27" s="2" t="s">
        <v>23</v>
      </c>
      <c r="V27" s="2" t="s">
        <v>22</v>
      </c>
      <c r="W27" s="2" t="s">
        <v>23</v>
      </c>
      <c r="X27" s="1" t="s">
        <v>34</v>
      </c>
      <c r="Y27" s="2" t="s">
        <v>26</v>
      </c>
      <c r="Z27" s="2" t="s">
        <v>19</v>
      </c>
      <c r="AA27" s="2" t="s">
        <v>23</v>
      </c>
      <c r="AB27" s="2" t="s">
        <v>20</v>
      </c>
      <c r="AC27" s="2" t="s">
        <v>23</v>
      </c>
      <c r="AD27" s="2" t="s">
        <v>21</v>
      </c>
      <c r="AE27" s="2" t="s">
        <v>23</v>
      </c>
      <c r="AF27" s="2" t="s">
        <v>22</v>
      </c>
      <c r="AG27" s="2" t="s">
        <v>23</v>
      </c>
      <c r="AH27" s="2" t="s">
        <v>24</v>
      </c>
      <c r="AI27" s="2" t="s">
        <v>23</v>
      </c>
      <c r="AJ27" s="6" t="s">
        <v>15</v>
      </c>
      <c r="AK27" s="6" t="s">
        <v>16</v>
      </c>
      <c r="AL27" s="6" t="s">
        <v>17</v>
      </c>
      <c r="AM27" s="6" t="s">
        <v>18</v>
      </c>
      <c r="AN27" s="1" t="s">
        <v>35</v>
      </c>
      <c r="AO27" s="2" t="s">
        <v>26</v>
      </c>
      <c r="AP27" s="2" t="s">
        <v>19</v>
      </c>
      <c r="AQ27" s="2" t="s">
        <v>23</v>
      </c>
      <c r="AR27" s="2" t="s">
        <v>20</v>
      </c>
      <c r="AS27" s="2" t="s">
        <v>23</v>
      </c>
      <c r="AT27" s="2" t="s">
        <v>21</v>
      </c>
      <c r="AU27" s="2" t="s">
        <v>23</v>
      </c>
      <c r="AV27" s="2" t="s">
        <v>22</v>
      </c>
      <c r="AW27" s="2" t="s">
        <v>23</v>
      </c>
      <c r="AX27" s="2" t="s">
        <v>24</v>
      </c>
      <c r="AY27" s="2" t="s">
        <v>23</v>
      </c>
      <c r="AZ27" s="6" t="s">
        <v>15</v>
      </c>
      <c r="BA27" s="6" t="s">
        <v>16</v>
      </c>
      <c r="BB27" s="6" t="s">
        <v>17</v>
      </c>
      <c r="BC27" s="6" t="s">
        <v>18</v>
      </c>
      <c r="BE27" s="1" t="s">
        <v>25</v>
      </c>
      <c r="BF27" s="2" t="s">
        <v>26</v>
      </c>
      <c r="BG27" s="2" t="s">
        <v>19</v>
      </c>
      <c r="BH27" s="2" t="s">
        <v>23</v>
      </c>
      <c r="BI27" s="2" t="s">
        <v>20</v>
      </c>
      <c r="BJ27" s="2" t="s">
        <v>23</v>
      </c>
      <c r="BK27" s="2" t="s">
        <v>22</v>
      </c>
      <c r="BL27" s="2" t="s">
        <v>23</v>
      </c>
      <c r="BM27" s="8" t="s">
        <v>36</v>
      </c>
      <c r="BN27" s="8" t="s">
        <v>23</v>
      </c>
      <c r="BO27" s="6" t="s">
        <v>15</v>
      </c>
      <c r="BP27" s="6" t="s">
        <v>16</v>
      </c>
      <c r="BQ27" s="6" t="s">
        <v>18</v>
      </c>
    </row>
    <row r="28" ht="20.4" spans="1:69">
      <c r="A28" s="1"/>
      <c r="B28" s="2">
        <v>1</v>
      </c>
      <c r="C28" s="2">
        <v>12672</v>
      </c>
      <c r="D28" s="2">
        <v>11008</v>
      </c>
      <c r="E28" s="2">
        <v>1920</v>
      </c>
      <c r="F28" s="2">
        <v>4775</v>
      </c>
      <c r="G28" s="2">
        <v>66.8</v>
      </c>
      <c r="H28" s="2">
        <v>5455</v>
      </c>
      <c r="I28" s="2">
        <v>76.3</v>
      </c>
      <c r="J28" s="5">
        <v>9.5</v>
      </c>
      <c r="K28" s="7">
        <f t="shared" ref="K28:K33" si="98">H28/F28</f>
        <v>1.14240837696335</v>
      </c>
      <c r="L28" s="7">
        <f t="shared" ref="L28:L33" si="99">H28/P28</f>
        <v>1.80903609383508</v>
      </c>
      <c r="M28" s="7">
        <f t="shared" ref="M28:M33" si="100">H28/R28</f>
        <v>1.80215395555119</v>
      </c>
      <c r="N28" s="7">
        <f t="shared" ref="N28:N33" si="101">H28/T28</f>
        <v>2.0402527085804</v>
      </c>
      <c r="O28" s="7">
        <f t="shared" ref="O28:O33" si="102">H28/V28</f>
        <v>21.2639063218704</v>
      </c>
      <c r="P28" s="8">
        <f t="shared" ref="P28:P33" si="103">Z28*8.6</f>
        <v>3015.418</v>
      </c>
      <c r="Q28" s="8">
        <f>P28/7142.4*100</f>
        <v>42.2185539874552</v>
      </c>
      <c r="R28" s="8">
        <f t="shared" ref="R28:R33" si="104">AB28*8.6</f>
        <v>3026.9334</v>
      </c>
      <c r="S28" s="8">
        <f>R28/7142.4*100</f>
        <v>42.379779905914</v>
      </c>
      <c r="T28" s="8">
        <f t="shared" ref="T28:T33" si="105">AD28*8.6</f>
        <v>2673.6884</v>
      </c>
      <c r="U28" s="8">
        <f>T28/7142.4*100</f>
        <v>37.4340333781362</v>
      </c>
      <c r="V28" s="8">
        <f t="shared" ref="V28:V33" si="106">AF28*8.6</f>
        <v>256.538</v>
      </c>
      <c r="W28" s="8">
        <f>V28/7142.4*100</f>
        <v>3.59176187275986</v>
      </c>
      <c r="X28" s="1"/>
      <c r="Y28" s="2">
        <v>1</v>
      </c>
      <c r="Z28" s="2">
        <v>350.63</v>
      </c>
      <c r="AA28" s="8">
        <f t="shared" ref="AA28:AA33" si="107">(Z28/748.8)*100</f>
        <v>46.8255876068376</v>
      </c>
      <c r="AB28" s="2">
        <v>351.969</v>
      </c>
      <c r="AC28" s="8">
        <f t="shared" ref="AC28:AG28" si="108">AB28/748.8*100</f>
        <v>47.0044070512821</v>
      </c>
      <c r="AD28" s="2">
        <v>310.894</v>
      </c>
      <c r="AE28" s="8">
        <f t="shared" si="108"/>
        <v>41.5189636752137</v>
      </c>
      <c r="AF28" s="2">
        <v>29.83</v>
      </c>
      <c r="AG28" s="8">
        <f t="shared" si="108"/>
        <v>3.98370726495726</v>
      </c>
      <c r="AH28" s="8">
        <f t="shared" ref="AH28:AH33" si="109">H28/9.5</f>
        <v>574.210526315789</v>
      </c>
      <c r="AI28" s="8">
        <f t="shared" ref="AI28:AI33" si="110">AH28/748.8*100</f>
        <v>76.684098065677</v>
      </c>
      <c r="AJ28" s="7">
        <f t="shared" ref="AJ28:AJ33" si="111">AH28/Z28</f>
        <v>1.63765372705071</v>
      </c>
      <c r="AK28" s="7">
        <f t="shared" ref="AK28:AK33" si="112">AH28/AB28</f>
        <v>1.63142358081476</v>
      </c>
      <c r="AL28" s="7">
        <f t="shared" ref="AL28:AL33" si="113">AH28/AD28</f>
        <v>1.84696560987278</v>
      </c>
      <c r="AM28" s="7">
        <f t="shared" ref="AM28:AM33" si="114">AH28/AF28</f>
        <v>19.2494309861143</v>
      </c>
      <c r="AN28" s="1"/>
      <c r="AO28" s="2">
        <v>1</v>
      </c>
      <c r="AP28" s="8">
        <v>1059.48</v>
      </c>
      <c r="AQ28" s="8">
        <f t="shared" ref="AQ28:AU28" si="115">AP28/1728*100</f>
        <v>61.3125</v>
      </c>
      <c r="AR28" s="8">
        <v>646.532</v>
      </c>
      <c r="AS28" s="8">
        <f t="shared" si="115"/>
        <v>37.4150462962963</v>
      </c>
      <c r="AT28" s="8">
        <v>620.449</v>
      </c>
      <c r="AU28" s="8">
        <f t="shared" si="115"/>
        <v>35.9056134259259</v>
      </c>
      <c r="AV28" s="8">
        <v>141.11</v>
      </c>
      <c r="AW28" s="8">
        <f t="shared" ref="AW28:AW33" si="116">AV28/864*100</f>
        <v>16.3321759259259</v>
      </c>
      <c r="AX28" s="8">
        <f t="shared" ref="AX28:AX33" si="117">H28/3.7</f>
        <v>1474.32432432432</v>
      </c>
      <c r="AY28" s="8">
        <f>AX28/1728*100</f>
        <v>85.3196946946947</v>
      </c>
      <c r="AZ28" s="7">
        <f t="shared" ref="AZ28:AZ33" si="118">AX28/AP28</f>
        <v>1.39155465353223</v>
      </c>
      <c r="BA28" s="7">
        <f t="shared" ref="BA28:BA33" si="119">AX28/AR28</f>
        <v>2.28035785440523</v>
      </c>
      <c r="BB28" s="7">
        <f t="shared" ref="BB28:BB33" si="120">AX28/AT28</f>
        <v>2.37622161422506</v>
      </c>
      <c r="BC28" s="7">
        <f t="shared" ref="BC28:BC33" si="121">AX28/AV28</f>
        <v>10.4480499208017</v>
      </c>
      <c r="BE28" s="1"/>
      <c r="BF28" s="2">
        <v>1</v>
      </c>
      <c r="BG28" s="8">
        <v>1146.33</v>
      </c>
      <c r="BH28" s="8">
        <f t="shared" ref="BH28:BL28" si="122">BG28/2039.76*100</f>
        <v>56.1992587363219</v>
      </c>
      <c r="BI28" s="8">
        <v>1169.197</v>
      </c>
      <c r="BJ28" s="8">
        <f t="shared" si="122"/>
        <v>57.3203219986665</v>
      </c>
      <c r="BK28" s="8">
        <v>329.13</v>
      </c>
      <c r="BL28" s="8">
        <f t="shared" si="122"/>
        <v>16.1357218496294</v>
      </c>
      <c r="BM28" s="8">
        <f t="shared" si="33"/>
        <v>1558.57142857143</v>
      </c>
      <c r="BN28" s="8">
        <f>BM28/2039.76*100</f>
        <v>76.4095495828641</v>
      </c>
      <c r="BO28" s="7">
        <f t="shared" si="35"/>
        <v>1.35961845940648</v>
      </c>
      <c r="BP28" s="7">
        <f t="shared" si="36"/>
        <v>1.33302722173546</v>
      </c>
      <c r="BQ28" s="7">
        <f t="shared" si="37"/>
        <v>4.7354280332131</v>
      </c>
    </row>
    <row r="29" ht="20.4" spans="1:69">
      <c r="A29" s="1"/>
      <c r="B29" s="2">
        <v>2</v>
      </c>
      <c r="C29" s="2">
        <v>12672</v>
      </c>
      <c r="D29" s="2">
        <v>16000</v>
      </c>
      <c r="E29" s="2">
        <v>1920</v>
      </c>
      <c r="F29" s="2">
        <v>4858</v>
      </c>
      <c r="G29" s="2">
        <v>68</v>
      </c>
      <c r="H29" s="2">
        <v>5504</v>
      </c>
      <c r="I29" s="2">
        <v>77</v>
      </c>
      <c r="J29" s="5">
        <v>9</v>
      </c>
      <c r="K29" s="7">
        <f t="shared" si="98"/>
        <v>1.1329765335529</v>
      </c>
      <c r="L29" s="7">
        <f t="shared" si="99"/>
        <v>1.81766543595569</v>
      </c>
      <c r="M29" s="7">
        <f t="shared" si="100"/>
        <v>1.81391499540853</v>
      </c>
      <c r="N29" s="7">
        <f t="shared" si="101"/>
        <v>2.05533342967709</v>
      </c>
      <c r="O29" s="7">
        <f t="shared" si="102"/>
        <v>17.9372197309417</v>
      </c>
      <c r="P29" s="8">
        <f t="shared" si="103"/>
        <v>3028.06</v>
      </c>
      <c r="Q29" s="8">
        <f t="shared" ref="Q29:Q39" si="123">P29/7142.4*100</f>
        <v>42.3955533154122</v>
      </c>
      <c r="R29" s="8">
        <f t="shared" si="104"/>
        <v>3034.3208</v>
      </c>
      <c r="S29" s="8">
        <f t="shared" ref="S29:S39" si="124">R29/7142.4*100</f>
        <v>42.483210125448</v>
      </c>
      <c r="T29" s="8">
        <f t="shared" si="105"/>
        <v>2677.911</v>
      </c>
      <c r="U29" s="8">
        <f t="shared" ref="U29:U39" si="125">T29/7142.4*100</f>
        <v>37.493153561828</v>
      </c>
      <c r="V29" s="8">
        <f t="shared" si="106"/>
        <v>306.848</v>
      </c>
      <c r="W29" s="8">
        <f t="shared" ref="W29:W39" si="126">V29/7142.4*100</f>
        <v>4.29614695340502</v>
      </c>
      <c r="X29" s="1"/>
      <c r="Y29" s="2">
        <v>2</v>
      </c>
      <c r="Z29" s="2">
        <v>352.1</v>
      </c>
      <c r="AA29" s="8">
        <f t="shared" si="107"/>
        <v>47.0219017094017</v>
      </c>
      <c r="AB29" s="2">
        <v>352.828</v>
      </c>
      <c r="AC29" s="8">
        <f t="shared" ref="AC29:AG29" si="127">AB29/748.8*100</f>
        <v>47.1191239316239</v>
      </c>
      <c r="AD29" s="2">
        <v>311.385</v>
      </c>
      <c r="AE29" s="8">
        <f t="shared" si="127"/>
        <v>41.5845352564103</v>
      </c>
      <c r="AF29" s="2">
        <v>35.68</v>
      </c>
      <c r="AG29" s="8">
        <f t="shared" si="127"/>
        <v>4.76495726495727</v>
      </c>
      <c r="AH29" s="8">
        <f t="shared" si="109"/>
        <v>579.368421052632</v>
      </c>
      <c r="AI29" s="8">
        <f t="shared" si="110"/>
        <v>77.3729194781826</v>
      </c>
      <c r="AJ29" s="7">
        <f t="shared" si="111"/>
        <v>1.64546555254937</v>
      </c>
      <c r="AK29" s="7">
        <f t="shared" si="112"/>
        <v>1.64207041689614</v>
      </c>
      <c r="AL29" s="7">
        <f t="shared" si="113"/>
        <v>1.8606176310761</v>
      </c>
      <c r="AM29" s="7">
        <f t="shared" si="114"/>
        <v>16.2379041774841</v>
      </c>
      <c r="AN29" s="1"/>
      <c r="AO29" s="2">
        <v>2</v>
      </c>
      <c r="AP29" s="8">
        <v>1046.15</v>
      </c>
      <c r="AQ29" s="8">
        <f t="shared" ref="AQ29:AU29" si="128">AP29/1728*100</f>
        <v>60.541087962963</v>
      </c>
      <c r="AR29" s="8">
        <v>631.544</v>
      </c>
      <c r="AS29" s="8">
        <f t="shared" si="128"/>
        <v>36.5476851851852</v>
      </c>
      <c r="AT29" s="8">
        <v>609.362</v>
      </c>
      <c r="AU29" s="8">
        <f t="shared" si="128"/>
        <v>35.2640046296296</v>
      </c>
      <c r="AV29" s="8">
        <v>138.58</v>
      </c>
      <c r="AW29" s="8">
        <f t="shared" si="116"/>
        <v>16.0393518518519</v>
      </c>
      <c r="AX29" s="8">
        <f t="shared" si="117"/>
        <v>1487.56756756757</v>
      </c>
      <c r="AY29" s="8">
        <f t="shared" ref="AY29:AY39" si="129">AX29/1728*100</f>
        <v>86.0860860860861</v>
      </c>
      <c r="AZ29" s="7">
        <f t="shared" si="118"/>
        <v>1.42194481438376</v>
      </c>
      <c r="BA29" s="7">
        <f t="shared" si="119"/>
        <v>2.35544564997461</v>
      </c>
      <c r="BB29" s="7">
        <f t="shared" si="120"/>
        <v>2.44118859982665</v>
      </c>
      <c r="BC29" s="7">
        <f t="shared" si="121"/>
        <v>10.7343597024648</v>
      </c>
      <c r="BE29" s="1"/>
      <c r="BF29" s="2">
        <v>2</v>
      </c>
      <c r="BG29" s="8">
        <v>1153.72</v>
      </c>
      <c r="BH29" s="8">
        <f t="shared" ref="BH29:BL29" si="130">BG29/2039.76*100</f>
        <v>56.561556261521</v>
      </c>
      <c r="BI29" s="8">
        <v>1173.152</v>
      </c>
      <c r="BJ29" s="8">
        <f t="shared" si="130"/>
        <v>57.514217358905</v>
      </c>
      <c r="BK29" s="8">
        <v>338.96</v>
      </c>
      <c r="BL29" s="8">
        <f t="shared" si="130"/>
        <v>16.6176412911323</v>
      </c>
      <c r="BM29" s="8">
        <f t="shared" si="33"/>
        <v>1572.57142857143</v>
      </c>
      <c r="BN29" s="8">
        <f t="shared" ref="BN29:BN39" si="131">BM29/2039.76*100</f>
        <v>77.0959048403454</v>
      </c>
      <c r="BO29" s="7">
        <f t="shared" si="35"/>
        <v>1.36304426426813</v>
      </c>
      <c r="BP29" s="7">
        <f t="shared" si="36"/>
        <v>1.34046690332662</v>
      </c>
      <c r="BQ29" s="7">
        <f t="shared" si="37"/>
        <v>4.63940119356688</v>
      </c>
    </row>
    <row r="30" ht="20.4" spans="1:69">
      <c r="A30" s="1"/>
      <c r="B30" s="2">
        <v>3</v>
      </c>
      <c r="C30" s="2">
        <v>12672</v>
      </c>
      <c r="D30" s="2">
        <v>17152</v>
      </c>
      <c r="E30" s="2">
        <v>1920</v>
      </c>
      <c r="F30" s="2">
        <v>5091</v>
      </c>
      <c r="G30" s="2">
        <v>71.2</v>
      </c>
      <c r="H30" s="2">
        <v>5598</v>
      </c>
      <c r="I30" s="2">
        <v>87.8</v>
      </c>
      <c r="J30" s="5">
        <v>7</v>
      </c>
      <c r="K30" s="7">
        <f t="shared" si="98"/>
        <v>1.09958750736594</v>
      </c>
      <c r="L30" s="7">
        <f t="shared" si="99"/>
        <v>1.84849841698796</v>
      </c>
      <c r="M30" s="7">
        <f t="shared" si="100"/>
        <v>1.84999568730909</v>
      </c>
      <c r="N30" s="7">
        <f t="shared" si="101"/>
        <v>2.11288848387456</v>
      </c>
      <c r="O30" s="7">
        <f t="shared" si="102"/>
        <v>21.0180895239955</v>
      </c>
      <c r="P30" s="8">
        <f t="shared" si="103"/>
        <v>3028.404</v>
      </c>
      <c r="Q30" s="8">
        <f t="shared" si="123"/>
        <v>42.4003696236559</v>
      </c>
      <c r="R30" s="8">
        <f t="shared" si="104"/>
        <v>3025.953</v>
      </c>
      <c r="S30" s="8">
        <f t="shared" si="124"/>
        <v>42.3660534274194</v>
      </c>
      <c r="T30" s="8">
        <f t="shared" si="105"/>
        <v>2649.4536</v>
      </c>
      <c r="U30" s="8">
        <f t="shared" si="125"/>
        <v>37.0947244623656</v>
      </c>
      <c r="V30" s="8">
        <f t="shared" si="106"/>
        <v>266.342</v>
      </c>
      <c r="W30" s="8">
        <f t="shared" si="126"/>
        <v>3.72902665770609</v>
      </c>
      <c r="X30" s="1"/>
      <c r="Y30" s="2">
        <v>3</v>
      </c>
      <c r="Z30" s="2">
        <v>352.14</v>
      </c>
      <c r="AA30" s="8">
        <f t="shared" si="107"/>
        <v>47.0272435897436</v>
      </c>
      <c r="AB30" s="2">
        <v>351.855</v>
      </c>
      <c r="AC30" s="8">
        <f t="shared" ref="AC30:AG30" si="132">AB30/748.8*100</f>
        <v>46.9891826923077</v>
      </c>
      <c r="AD30" s="2">
        <v>308.076</v>
      </c>
      <c r="AE30" s="8">
        <f t="shared" si="132"/>
        <v>41.1426282051282</v>
      </c>
      <c r="AF30" s="2">
        <v>30.97</v>
      </c>
      <c r="AG30" s="8">
        <f t="shared" si="132"/>
        <v>4.13595085470085</v>
      </c>
      <c r="AH30" s="8">
        <f t="shared" si="109"/>
        <v>589.263157894737</v>
      </c>
      <c r="AI30" s="8">
        <f t="shared" si="110"/>
        <v>78.6943319838057</v>
      </c>
      <c r="AJ30" s="7">
        <f t="shared" si="111"/>
        <v>1.67337751432594</v>
      </c>
      <c r="AK30" s="7">
        <f t="shared" si="112"/>
        <v>1.67473293798507</v>
      </c>
      <c r="AL30" s="7">
        <f t="shared" si="113"/>
        <v>1.91272010119171</v>
      </c>
      <c r="AM30" s="7">
        <f t="shared" si="114"/>
        <v>19.0269020954064</v>
      </c>
      <c r="AN30" s="1"/>
      <c r="AO30" s="2">
        <v>3</v>
      </c>
      <c r="AP30" s="8">
        <v>1070.26</v>
      </c>
      <c r="AQ30" s="8">
        <f t="shared" ref="AQ30:AU30" si="133">AP30/1728*100</f>
        <v>61.9363425925926</v>
      </c>
      <c r="AR30" s="8">
        <v>647.433</v>
      </c>
      <c r="AS30" s="8">
        <f t="shared" si="133"/>
        <v>37.4671875</v>
      </c>
      <c r="AT30" s="8">
        <v>608.665</v>
      </c>
      <c r="AU30" s="8">
        <f t="shared" si="133"/>
        <v>35.2236689814815</v>
      </c>
      <c r="AV30" s="8">
        <v>144.88</v>
      </c>
      <c r="AW30" s="8">
        <f t="shared" si="116"/>
        <v>16.7685185185185</v>
      </c>
      <c r="AX30" s="8">
        <f t="shared" si="117"/>
        <v>1512.97297297297</v>
      </c>
      <c r="AY30" s="8">
        <f t="shared" si="129"/>
        <v>87.5563063063063</v>
      </c>
      <c r="AZ30" s="7">
        <f t="shared" si="118"/>
        <v>1.41364992896396</v>
      </c>
      <c r="BA30" s="7">
        <f t="shared" si="119"/>
        <v>2.33687960448876</v>
      </c>
      <c r="BB30" s="7">
        <f t="shared" si="120"/>
        <v>2.48572362953837</v>
      </c>
      <c r="BC30" s="7">
        <f t="shared" si="121"/>
        <v>10.4429387974391</v>
      </c>
      <c r="BE30" s="1"/>
      <c r="BF30" s="2">
        <v>3</v>
      </c>
      <c r="BG30" s="8">
        <v>1151.58</v>
      </c>
      <c r="BH30" s="8">
        <f t="shared" ref="BH30:BL30" si="134">BG30/2039.76*100</f>
        <v>56.4566419578774</v>
      </c>
      <c r="BI30" s="8">
        <v>1169.282</v>
      </c>
      <c r="BJ30" s="8">
        <f t="shared" si="134"/>
        <v>57.3244891555869</v>
      </c>
      <c r="BK30" s="8">
        <v>335.44</v>
      </c>
      <c r="BL30" s="8">
        <f t="shared" si="134"/>
        <v>16.4450719692513</v>
      </c>
      <c r="BM30" s="8">
        <f t="shared" si="33"/>
        <v>1599.42857142857</v>
      </c>
      <c r="BN30" s="8">
        <f t="shared" si="131"/>
        <v>78.4125863546972</v>
      </c>
      <c r="BO30" s="7">
        <f t="shared" si="35"/>
        <v>1.38889922665257</v>
      </c>
      <c r="BP30" s="7">
        <f t="shared" si="36"/>
        <v>1.36787239641812</v>
      </c>
      <c r="BQ30" s="7">
        <f t="shared" si="37"/>
        <v>4.76815099996593</v>
      </c>
    </row>
    <row r="31" ht="20.4" spans="1:69">
      <c r="A31" s="1"/>
      <c r="B31" s="2">
        <v>4</v>
      </c>
      <c r="C31" s="2">
        <v>12672</v>
      </c>
      <c r="D31" s="2">
        <v>14080</v>
      </c>
      <c r="E31" s="2">
        <v>1920</v>
      </c>
      <c r="F31" s="2">
        <v>4982</v>
      </c>
      <c r="G31" s="2">
        <v>69.7</v>
      </c>
      <c r="H31" s="2">
        <v>5506</v>
      </c>
      <c r="I31" s="2">
        <v>77.1</v>
      </c>
      <c r="J31" s="5">
        <v>7.3</v>
      </c>
      <c r="K31" s="7">
        <f t="shared" si="98"/>
        <v>1.10517864311521</v>
      </c>
      <c r="L31" s="7">
        <f t="shared" si="99"/>
        <v>1.82158522246432</v>
      </c>
      <c r="M31" s="7">
        <f t="shared" si="100"/>
        <v>1.81603074257055</v>
      </c>
      <c r="N31" s="7">
        <f t="shared" si="101"/>
        <v>2.05753397117136</v>
      </c>
      <c r="O31" s="7">
        <f t="shared" si="102"/>
        <v>20.6793461931374</v>
      </c>
      <c r="P31" s="8">
        <f t="shared" si="103"/>
        <v>3022.642</v>
      </c>
      <c r="Q31" s="8">
        <f t="shared" si="123"/>
        <v>42.3196964605735</v>
      </c>
      <c r="R31" s="8">
        <f t="shared" si="104"/>
        <v>3031.887</v>
      </c>
      <c r="S31" s="8">
        <f t="shared" si="124"/>
        <v>42.4491347446237</v>
      </c>
      <c r="T31" s="8">
        <f t="shared" si="105"/>
        <v>2676.019</v>
      </c>
      <c r="U31" s="8">
        <f t="shared" si="125"/>
        <v>37.4666638664875</v>
      </c>
      <c r="V31" s="8">
        <f t="shared" si="106"/>
        <v>266.256</v>
      </c>
      <c r="W31" s="8">
        <f t="shared" si="126"/>
        <v>3.72782258064516</v>
      </c>
      <c r="X31" s="1"/>
      <c r="Y31" s="2">
        <v>4</v>
      </c>
      <c r="Z31" s="2">
        <v>351.47</v>
      </c>
      <c r="AA31" s="8">
        <f t="shared" si="107"/>
        <v>46.9377670940171</v>
      </c>
      <c r="AB31" s="2">
        <v>352.545</v>
      </c>
      <c r="AC31" s="8">
        <f t="shared" ref="AC31:AG31" si="135">AB31/748.8*100</f>
        <v>47.0813301282051</v>
      </c>
      <c r="AD31" s="2">
        <v>311.165</v>
      </c>
      <c r="AE31" s="8">
        <f t="shared" si="135"/>
        <v>41.5551549145299</v>
      </c>
      <c r="AF31" s="2">
        <v>30.96</v>
      </c>
      <c r="AG31" s="8">
        <f t="shared" si="135"/>
        <v>4.13461538461539</v>
      </c>
      <c r="AH31" s="8">
        <f t="shared" si="109"/>
        <v>579.578947368421</v>
      </c>
      <c r="AI31" s="8">
        <f t="shared" si="110"/>
        <v>77.4010346378767</v>
      </c>
      <c r="AJ31" s="7">
        <f t="shared" si="111"/>
        <v>1.64901399086244</v>
      </c>
      <c r="AK31" s="7">
        <f t="shared" si="112"/>
        <v>1.64398572485334</v>
      </c>
      <c r="AL31" s="7">
        <f t="shared" si="113"/>
        <v>1.86260970021828</v>
      </c>
      <c r="AM31" s="7">
        <f t="shared" si="114"/>
        <v>18.7202502379981</v>
      </c>
      <c r="AN31" s="1"/>
      <c r="AO31" s="2">
        <v>4</v>
      </c>
      <c r="AP31" s="8">
        <v>1096</v>
      </c>
      <c r="AQ31" s="8">
        <f t="shared" ref="AQ31:AU31" si="136">AP31/1728*100</f>
        <v>63.4259259259259</v>
      </c>
      <c r="AR31" s="8">
        <v>648.422</v>
      </c>
      <c r="AS31" s="8">
        <f t="shared" si="136"/>
        <v>37.5244212962963</v>
      </c>
      <c r="AT31" s="8">
        <v>617.267</v>
      </c>
      <c r="AU31" s="8">
        <f t="shared" si="136"/>
        <v>35.7214699074074</v>
      </c>
      <c r="AV31" s="8">
        <v>142.03</v>
      </c>
      <c r="AW31" s="8">
        <f t="shared" si="116"/>
        <v>16.4386574074074</v>
      </c>
      <c r="AX31" s="8">
        <f t="shared" si="117"/>
        <v>1488.10810810811</v>
      </c>
      <c r="AY31" s="8">
        <f t="shared" si="129"/>
        <v>86.1173673673674</v>
      </c>
      <c r="AZ31" s="7">
        <f t="shared" si="118"/>
        <v>1.35776287236141</v>
      </c>
      <c r="BA31" s="7">
        <f t="shared" si="119"/>
        <v>2.29496856693343</v>
      </c>
      <c r="BB31" s="7">
        <f t="shared" si="120"/>
        <v>2.41080133573981</v>
      </c>
      <c r="BC31" s="7">
        <f t="shared" si="121"/>
        <v>10.4774210244885</v>
      </c>
      <c r="BE31" s="1"/>
      <c r="BF31" s="2">
        <v>4</v>
      </c>
      <c r="BG31" s="8">
        <v>1145.96</v>
      </c>
      <c r="BH31" s="8">
        <f t="shared" ref="BH31:BL31" si="137">BG31/2039.76*100</f>
        <v>56.1811193473742</v>
      </c>
      <c r="BI31" s="8">
        <v>1161.256</v>
      </c>
      <c r="BJ31" s="8">
        <f t="shared" si="137"/>
        <v>56.931011491548</v>
      </c>
      <c r="BK31" s="8">
        <v>336.85</v>
      </c>
      <c r="BL31" s="8">
        <f t="shared" si="137"/>
        <v>16.5141977487548</v>
      </c>
      <c r="BM31" s="8">
        <f t="shared" si="33"/>
        <v>1573.14285714286</v>
      </c>
      <c r="BN31" s="8">
        <f t="shared" si="131"/>
        <v>77.1239193406507</v>
      </c>
      <c r="BO31" s="7">
        <f t="shared" si="35"/>
        <v>1.37277292151808</v>
      </c>
      <c r="BP31" s="7">
        <f t="shared" si="36"/>
        <v>1.35469083229095</v>
      </c>
      <c r="BQ31" s="7">
        <f t="shared" si="37"/>
        <v>4.67015840030535</v>
      </c>
    </row>
    <row r="32" ht="20.4" spans="1:69">
      <c r="A32" s="1"/>
      <c r="B32" s="2">
        <v>5</v>
      </c>
      <c r="C32" s="2">
        <v>12672</v>
      </c>
      <c r="D32" s="2">
        <v>5632</v>
      </c>
      <c r="E32" s="2">
        <v>1920</v>
      </c>
      <c r="F32" s="2">
        <v>4571</v>
      </c>
      <c r="G32" s="2">
        <v>63.9</v>
      </c>
      <c r="H32" s="2">
        <v>5130</v>
      </c>
      <c r="I32" s="2">
        <v>71.8</v>
      </c>
      <c r="J32" s="5">
        <v>7.8</v>
      </c>
      <c r="K32" s="7">
        <f t="shared" si="98"/>
        <v>1.12229271494203</v>
      </c>
      <c r="L32" s="7">
        <f t="shared" si="99"/>
        <v>1.6876832024529</v>
      </c>
      <c r="M32" s="7">
        <f t="shared" si="100"/>
        <v>1.68892080462689</v>
      </c>
      <c r="N32" s="7">
        <f t="shared" si="101"/>
        <v>1.92245743574308</v>
      </c>
      <c r="O32" s="7">
        <f t="shared" si="102"/>
        <v>22.1422282073859</v>
      </c>
      <c r="P32" s="8">
        <f t="shared" si="103"/>
        <v>3039.67</v>
      </c>
      <c r="Q32" s="8">
        <f t="shared" si="123"/>
        <v>42.558103718638</v>
      </c>
      <c r="R32" s="8">
        <f t="shared" si="104"/>
        <v>3037.4426</v>
      </c>
      <c r="S32" s="8">
        <f t="shared" si="124"/>
        <v>42.5269181227599</v>
      </c>
      <c r="T32" s="8">
        <f t="shared" si="105"/>
        <v>2668.4596</v>
      </c>
      <c r="U32" s="8">
        <f t="shared" si="125"/>
        <v>37.3608254928315</v>
      </c>
      <c r="V32" s="8">
        <f t="shared" si="106"/>
        <v>231.684</v>
      </c>
      <c r="W32" s="8">
        <f t="shared" si="126"/>
        <v>3.24378360215054</v>
      </c>
      <c r="X32" s="1"/>
      <c r="Y32" s="2">
        <v>5</v>
      </c>
      <c r="Z32" s="2">
        <v>353.45</v>
      </c>
      <c r="AA32" s="8">
        <f t="shared" si="107"/>
        <v>47.2021901709402</v>
      </c>
      <c r="AB32" s="2">
        <v>353.191</v>
      </c>
      <c r="AC32" s="8">
        <f t="shared" ref="AC32:AG32" si="138">AB32/748.8*100</f>
        <v>47.1676014957265</v>
      </c>
      <c r="AD32" s="2">
        <v>310.286</v>
      </c>
      <c r="AE32" s="8">
        <f t="shared" si="138"/>
        <v>41.4377670940171</v>
      </c>
      <c r="AF32" s="2">
        <v>26.94</v>
      </c>
      <c r="AG32" s="8">
        <f t="shared" si="138"/>
        <v>3.59775641025641</v>
      </c>
      <c r="AH32" s="8">
        <f t="shared" si="109"/>
        <v>540</v>
      </c>
      <c r="AI32" s="8">
        <f t="shared" si="110"/>
        <v>72.1153846153846</v>
      </c>
      <c r="AJ32" s="7">
        <f t="shared" si="111"/>
        <v>1.52779742537841</v>
      </c>
      <c r="AK32" s="7">
        <f t="shared" si="112"/>
        <v>1.52891778103066</v>
      </c>
      <c r="AL32" s="7">
        <f t="shared" si="113"/>
        <v>1.740329889199</v>
      </c>
      <c r="AM32" s="7">
        <f t="shared" si="114"/>
        <v>20.0445434298441</v>
      </c>
      <c r="AN32" s="1"/>
      <c r="AO32" s="2">
        <v>5</v>
      </c>
      <c r="AP32" s="8">
        <v>1015.52</v>
      </c>
      <c r="AQ32" s="8">
        <f t="shared" ref="AQ32:AU32" si="139">AP32/1728*100</f>
        <v>58.7685185185185</v>
      </c>
      <c r="AR32" s="8">
        <v>642.205</v>
      </c>
      <c r="AS32" s="8">
        <f t="shared" si="139"/>
        <v>37.1646412037037</v>
      </c>
      <c r="AT32" s="8">
        <v>617.422</v>
      </c>
      <c r="AU32" s="8">
        <f t="shared" si="139"/>
        <v>35.7304398148148</v>
      </c>
      <c r="AV32" s="8">
        <v>141.24</v>
      </c>
      <c r="AW32" s="8">
        <f t="shared" si="116"/>
        <v>16.3472222222222</v>
      </c>
      <c r="AX32" s="8">
        <f t="shared" si="117"/>
        <v>1386.48648648649</v>
      </c>
      <c r="AY32" s="8">
        <f t="shared" si="129"/>
        <v>80.2364864864865</v>
      </c>
      <c r="AZ32" s="7">
        <f t="shared" si="118"/>
        <v>1.365297075869</v>
      </c>
      <c r="BA32" s="7">
        <f t="shared" si="119"/>
        <v>2.15894688843358</v>
      </c>
      <c r="BB32" s="7">
        <f t="shared" si="120"/>
        <v>2.24560590080445</v>
      </c>
      <c r="BC32" s="7">
        <f t="shared" si="121"/>
        <v>9.81652850811729</v>
      </c>
      <c r="BE32" s="1"/>
      <c r="BF32" s="2">
        <v>5</v>
      </c>
      <c r="BG32" s="8">
        <v>1112.66</v>
      </c>
      <c r="BH32" s="8">
        <f t="shared" ref="BH32:BL32" si="140">BG32/2039.76*100</f>
        <v>54.5485743420795</v>
      </c>
      <c r="BI32" s="8">
        <v>1160.783</v>
      </c>
      <c r="BJ32" s="8">
        <f t="shared" si="140"/>
        <v>56.9078224889203</v>
      </c>
      <c r="BK32" s="8">
        <v>334.3</v>
      </c>
      <c r="BL32" s="8">
        <f t="shared" si="140"/>
        <v>16.3891830411421</v>
      </c>
      <c r="BM32" s="8">
        <f t="shared" si="33"/>
        <v>1465.71428571429</v>
      </c>
      <c r="BN32" s="8">
        <f t="shared" si="131"/>
        <v>71.8571932832434</v>
      </c>
      <c r="BO32" s="7">
        <f t="shared" si="35"/>
        <v>1.31730653183748</v>
      </c>
      <c r="BP32" s="7">
        <f t="shared" si="36"/>
        <v>1.26269447925606</v>
      </c>
      <c r="BQ32" s="7">
        <f t="shared" si="37"/>
        <v>4.38442801589676</v>
      </c>
    </row>
    <row r="33" ht="20.4" spans="1:69">
      <c r="A33" s="1"/>
      <c r="B33" s="2">
        <v>6</v>
      </c>
      <c r="C33" s="2">
        <v>12672</v>
      </c>
      <c r="D33" s="2">
        <v>19072</v>
      </c>
      <c r="E33" s="2">
        <v>1920</v>
      </c>
      <c r="F33" s="2">
        <v>4987</v>
      </c>
      <c r="G33" s="2">
        <v>69.8</v>
      </c>
      <c r="H33" s="2">
        <v>5575</v>
      </c>
      <c r="I33" s="2">
        <v>78</v>
      </c>
      <c r="J33" s="5">
        <v>8.2</v>
      </c>
      <c r="K33" s="7">
        <f t="shared" si="98"/>
        <v>1.11790655704833</v>
      </c>
      <c r="L33" s="7">
        <f t="shared" si="99"/>
        <v>1.85205363680215</v>
      </c>
      <c r="M33" s="7">
        <f t="shared" si="100"/>
        <v>1.83512946698492</v>
      </c>
      <c r="N33" s="7">
        <f t="shared" si="101"/>
        <v>2.08428980114941</v>
      </c>
      <c r="O33" s="7">
        <f t="shared" si="102"/>
        <v>17.9572247632545</v>
      </c>
      <c r="P33" s="8">
        <f t="shared" si="103"/>
        <v>3010.172</v>
      </c>
      <c r="Q33" s="8">
        <f t="shared" si="123"/>
        <v>42.1451052867383</v>
      </c>
      <c r="R33" s="8">
        <f t="shared" si="104"/>
        <v>3037.9328</v>
      </c>
      <c r="S33" s="8">
        <f t="shared" si="124"/>
        <v>42.5337813620072</v>
      </c>
      <c r="T33" s="8">
        <f t="shared" si="105"/>
        <v>2674.772</v>
      </c>
      <c r="U33" s="8">
        <f t="shared" si="125"/>
        <v>37.4492047491039</v>
      </c>
      <c r="V33" s="8">
        <f t="shared" si="106"/>
        <v>310.46</v>
      </c>
      <c r="W33" s="8">
        <f t="shared" si="126"/>
        <v>4.34671818996416</v>
      </c>
      <c r="X33" s="1"/>
      <c r="Y33" s="2">
        <v>6</v>
      </c>
      <c r="Z33" s="2">
        <v>350.02</v>
      </c>
      <c r="AA33" s="8">
        <f t="shared" si="107"/>
        <v>46.7441239316239</v>
      </c>
      <c r="AB33" s="2">
        <v>353.248</v>
      </c>
      <c r="AC33" s="8">
        <f t="shared" ref="AC33:AG33" si="141">AB33/748.8*100</f>
        <v>47.1752136752137</v>
      </c>
      <c r="AD33" s="2">
        <v>311.02</v>
      </c>
      <c r="AE33" s="8">
        <f t="shared" si="141"/>
        <v>41.5357905982906</v>
      </c>
      <c r="AF33" s="2">
        <v>36.1</v>
      </c>
      <c r="AG33" s="8">
        <f t="shared" si="141"/>
        <v>4.82104700854701</v>
      </c>
      <c r="AH33" s="8">
        <f t="shared" si="109"/>
        <v>586.842105263158</v>
      </c>
      <c r="AI33" s="8">
        <f t="shared" si="110"/>
        <v>78.3710076473234</v>
      </c>
      <c r="AJ33" s="7">
        <f t="shared" si="111"/>
        <v>1.67659592384195</v>
      </c>
      <c r="AK33" s="7">
        <f t="shared" si="112"/>
        <v>1.66127509642845</v>
      </c>
      <c r="AL33" s="7">
        <f t="shared" si="113"/>
        <v>1.8868307673563</v>
      </c>
      <c r="AM33" s="7">
        <f t="shared" si="114"/>
        <v>16.2560139962094</v>
      </c>
      <c r="AN33" s="1"/>
      <c r="AO33" s="2">
        <v>6</v>
      </c>
      <c r="AP33" s="8">
        <v>1047.69</v>
      </c>
      <c r="AQ33" s="8">
        <f t="shared" ref="AQ33:AU33" si="142">AP33/1728*100</f>
        <v>60.6302083333333</v>
      </c>
      <c r="AR33" s="8">
        <v>649.886</v>
      </c>
      <c r="AS33" s="8">
        <f t="shared" si="142"/>
        <v>37.6091435185185</v>
      </c>
      <c r="AT33" s="8">
        <v>612.769</v>
      </c>
      <c r="AU33" s="8">
        <f t="shared" si="142"/>
        <v>35.4611689814815</v>
      </c>
      <c r="AV33" s="8">
        <v>129.68</v>
      </c>
      <c r="AW33" s="8">
        <f t="shared" si="116"/>
        <v>15.0092592592593</v>
      </c>
      <c r="AX33" s="8">
        <f t="shared" si="117"/>
        <v>1506.75675675676</v>
      </c>
      <c r="AY33" s="8">
        <f t="shared" si="129"/>
        <v>87.1965715715716</v>
      </c>
      <c r="AZ33" s="7">
        <f t="shared" si="118"/>
        <v>1.43817040990823</v>
      </c>
      <c r="BA33" s="7">
        <f t="shared" si="119"/>
        <v>2.31849394625635</v>
      </c>
      <c r="BB33" s="7">
        <f t="shared" si="120"/>
        <v>2.45893110904233</v>
      </c>
      <c r="BC33" s="7">
        <f t="shared" si="121"/>
        <v>11.6190372976308</v>
      </c>
      <c r="BE33" s="1"/>
      <c r="BF33" s="2">
        <v>6</v>
      </c>
      <c r="BG33" s="8">
        <v>1150.93</v>
      </c>
      <c r="BH33" s="8">
        <f t="shared" ref="BH33:BL33" si="143">BG33/2039.76*100</f>
        <v>56.4247754637801</v>
      </c>
      <c r="BI33" s="8">
        <v>1178.978</v>
      </c>
      <c r="BJ33" s="8">
        <f t="shared" si="143"/>
        <v>57.7998391967683</v>
      </c>
      <c r="BK33" s="8">
        <v>335.78</v>
      </c>
      <c r="BL33" s="8">
        <f t="shared" si="143"/>
        <v>16.461740596933</v>
      </c>
      <c r="BM33" s="8">
        <f t="shared" si="33"/>
        <v>1592.85714285714</v>
      </c>
      <c r="BN33" s="8">
        <f t="shared" si="131"/>
        <v>78.0904196011856</v>
      </c>
      <c r="BO33" s="7">
        <f t="shared" si="35"/>
        <v>1.38397395398256</v>
      </c>
      <c r="BP33" s="7">
        <f t="shared" si="36"/>
        <v>1.35104908052325</v>
      </c>
      <c r="BQ33" s="7">
        <f t="shared" si="37"/>
        <v>4.74375228678642</v>
      </c>
    </row>
    <row r="34" ht="20.4" spans="1:69">
      <c r="A34" s="1"/>
      <c r="B34" s="2">
        <v>7</v>
      </c>
      <c r="C34" s="2">
        <v>10368</v>
      </c>
      <c r="D34" s="2">
        <v>77824</v>
      </c>
      <c r="E34" s="2">
        <v>1920</v>
      </c>
      <c r="F34" s="2">
        <v>5622</v>
      </c>
      <c r="G34" s="2">
        <v>78.7</v>
      </c>
      <c r="H34" s="2">
        <v>6108</v>
      </c>
      <c r="I34" s="2">
        <v>85.5</v>
      </c>
      <c r="J34" s="5">
        <v>6.8</v>
      </c>
      <c r="K34" s="7">
        <f t="shared" ref="K34:K39" si="144">H34/F34</f>
        <v>1.08644610458911</v>
      </c>
      <c r="L34" s="7">
        <f t="shared" ref="L34:L39" si="145">H34/P34</f>
        <v>2.03908173219125</v>
      </c>
      <c r="M34" s="7">
        <f t="shared" ref="M34:M39" si="146">H34/R34</f>
        <v>1.99447502987794</v>
      </c>
      <c r="N34" s="7">
        <f t="shared" ref="N34:N39" si="147">H34/T34</f>
        <v>2.23832765994716</v>
      </c>
      <c r="O34" s="7">
        <f t="shared" ref="O34:O39" si="148">H34/V34</f>
        <v>33.0648304534234</v>
      </c>
      <c r="P34" s="8">
        <f t="shared" ref="P34:P39" si="149">Z34*8.6</f>
        <v>2995.466</v>
      </c>
      <c r="Q34" s="8">
        <f t="shared" si="123"/>
        <v>41.939208109319</v>
      </c>
      <c r="R34" s="8">
        <f t="shared" ref="R34:R39" si="150">AB34*8.6</f>
        <v>3062.46</v>
      </c>
      <c r="S34" s="8">
        <f t="shared" si="124"/>
        <v>42.8771841397849</v>
      </c>
      <c r="T34" s="8">
        <f t="shared" ref="T34:T39" si="151">AD34*8.6</f>
        <v>2728.823</v>
      </c>
      <c r="U34" s="8">
        <f t="shared" si="125"/>
        <v>38.2059671818996</v>
      </c>
      <c r="V34" s="8">
        <f t="shared" ref="V34:V39" si="152">AF34*8.6</f>
        <v>184.728</v>
      </c>
      <c r="W34" s="8">
        <f t="shared" si="126"/>
        <v>2.58635752688172</v>
      </c>
      <c r="X34" s="1"/>
      <c r="Y34" s="2">
        <v>7</v>
      </c>
      <c r="Z34" s="2">
        <v>348.31</v>
      </c>
      <c r="AA34" s="8">
        <f t="shared" ref="AA34:AA39" si="153">(Z34/748.8)*100</f>
        <v>46.5157585470086</v>
      </c>
      <c r="AB34" s="2">
        <v>356.1</v>
      </c>
      <c r="AC34" s="8">
        <f t="shared" ref="AC34:AG34" si="154">AB34/748.8*100</f>
        <v>47.5560897435898</v>
      </c>
      <c r="AD34" s="2">
        <v>317.305</v>
      </c>
      <c r="AE34" s="8">
        <f t="shared" si="154"/>
        <v>42.3751335470085</v>
      </c>
      <c r="AF34" s="2">
        <v>21.48</v>
      </c>
      <c r="AG34" s="8">
        <f t="shared" si="154"/>
        <v>2.86858974358974</v>
      </c>
      <c r="AH34" s="8">
        <f t="shared" ref="AH34:AH39" si="155">H34/9.5</f>
        <v>642.947368421053</v>
      </c>
      <c r="AI34" s="8">
        <f t="shared" ref="AI34:AI39" si="156">AH34/748.8*100</f>
        <v>85.863697705803</v>
      </c>
      <c r="AJ34" s="7">
        <f t="shared" ref="AJ34:AJ39" si="157">AH34/Z34</f>
        <v>1.84590556808892</v>
      </c>
      <c r="AK34" s="7">
        <f t="shared" ref="AK34:AK39" si="158">AH34/AB34</f>
        <v>1.8055247638895</v>
      </c>
      <c r="AL34" s="7">
        <f t="shared" ref="AL34:AL39" si="159">AH34/AD34</f>
        <v>2.02627556584691</v>
      </c>
      <c r="AM34" s="7">
        <f t="shared" ref="AM34:AM39" si="160">AH34/AF34</f>
        <v>29.9323728315201</v>
      </c>
      <c r="AN34" s="1"/>
      <c r="AO34" s="2">
        <v>7</v>
      </c>
      <c r="AP34" s="8">
        <v>1060.56</v>
      </c>
      <c r="AQ34" s="8">
        <f t="shared" ref="AQ34:AU34" si="161">AP34/1728*100</f>
        <v>61.375</v>
      </c>
      <c r="AR34" s="8">
        <v>626.081</v>
      </c>
      <c r="AS34" s="8">
        <f t="shared" si="161"/>
        <v>36.2315393518519</v>
      </c>
      <c r="AT34" s="8">
        <v>628.044</v>
      </c>
      <c r="AU34" s="8">
        <f t="shared" si="161"/>
        <v>36.3451388888889</v>
      </c>
      <c r="AV34" s="8">
        <v>159.6</v>
      </c>
      <c r="AW34" s="8">
        <f t="shared" ref="AW34:AW39" si="162">AV34/864*100</f>
        <v>18.4722222222222</v>
      </c>
      <c r="AX34" s="8">
        <f t="shared" ref="AX34:AX39" si="163">H34/3.7</f>
        <v>1650.81081081081</v>
      </c>
      <c r="AY34" s="8">
        <f t="shared" si="129"/>
        <v>95.533033033033</v>
      </c>
      <c r="AZ34" s="7">
        <f t="shared" ref="AZ34:AZ39" si="164">AX34/AP34</f>
        <v>1.55654636306367</v>
      </c>
      <c r="BA34" s="7">
        <f t="shared" ref="BA34:BA39" si="165">AX34/AR34</f>
        <v>2.63673679733263</v>
      </c>
      <c r="BB34" s="7">
        <f t="shared" ref="BB34:BB39" si="166">AX34/AT34</f>
        <v>2.62849547294586</v>
      </c>
      <c r="BC34" s="7">
        <f t="shared" ref="BC34:BC39" si="167">AX34/AV34</f>
        <v>10.3434261328998</v>
      </c>
      <c r="BE34" s="1"/>
      <c r="BF34" s="2">
        <v>7</v>
      </c>
      <c r="BG34" s="8">
        <v>1109.76</v>
      </c>
      <c r="BH34" s="8">
        <f t="shared" ref="BH34:BL34" si="168">BG34/2039.76*100</f>
        <v>54.4064007530298</v>
      </c>
      <c r="BI34" s="8">
        <v>1173.62</v>
      </c>
      <c r="BJ34" s="8">
        <f t="shared" si="168"/>
        <v>57.5371612346551</v>
      </c>
      <c r="BK34" s="8">
        <v>334.97</v>
      </c>
      <c r="BL34" s="8">
        <f t="shared" si="168"/>
        <v>16.4220300427501</v>
      </c>
      <c r="BM34" s="8">
        <f t="shared" si="33"/>
        <v>1745.14285714286</v>
      </c>
      <c r="BN34" s="8">
        <f t="shared" si="131"/>
        <v>85.5562839325635</v>
      </c>
      <c r="BO34" s="7">
        <f t="shared" si="35"/>
        <v>1.57254078101829</v>
      </c>
      <c r="BP34" s="7">
        <f t="shared" si="36"/>
        <v>1.48697436746379</v>
      </c>
      <c r="BQ34" s="7">
        <f t="shared" si="37"/>
        <v>5.20984821668465</v>
      </c>
    </row>
    <row r="35" ht="20.4" spans="1:69">
      <c r="A35" s="1"/>
      <c r="B35" s="2">
        <v>8</v>
      </c>
      <c r="C35" s="2">
        <v>10368</v>
      </c>
      <c r="D35" s="2">
        <v>75904</v>
      </c>
      <c r="E35" s="2">
        <v>1920</v>
      </c>
      <c r="F35" s="2">
        <v>5658</v>
      </c>
      <c r="G35" s="2">
        <v>79.2</v>
      </c>
      <c r="H35" s="2">
        <v>6116</v>
      </c>
      <c r="I35" s="2">
        <v>85.6</v>
      </c>
      <c r="J35" s="5">
        <v>6.4</v>
      </c>
      <c r="K35" s="7">
        <f t="shared" si="144"/>
        <v>1.08094733121244</v>
      </c>
      <c r="L35" s="7">
        <f t="shared" si="145"/>
        <v>2.02812716582825</v>
      </c>
      <c r="M35" s="7">
        <f t="shared" si="146"/>
        <v>2.01163366295927</v>
      </c>
      <c r="N35" s="7">
        <f t="shared" si="147"/>
        <v>2.23427424920019</v>
      </c>
      <c r="O35" s="7">
        <f t="shared" si="148"/>
        <v>23.5328521077986</v>
      </c>
      <c r="P35" s="8">
        <f t="shared" si="149"/>
        <v>3015.59</v>
      </c>
      <c r="Q35" s="8">
        <f t="shared" si="123"/>
        <v>42.2209621415771</v>
      </c>
      <c r="R35" s="8">
        <f t="shared" si="150"/>
        <v>3040.315</v>
      </c>
      <c r="S35" s="8">
        <f t="shared" si="124"/>
        <v>42.567134296595</v>
      </c>
      <c r="T35" s="8">
        <f t="shared" si="151"/>
        <v>2737.3542</v>
      </c>
      <c r="U35" s="8">
        <f t="shared" si="125"/>
        <v>38.3254116263441</v>
      </c>
      <c r="V35" s="8">
        <f t="shared" si="152"/>
        <v>259.892</v>
      </c>
      <c r="W35" s="8">
        <f t="shared" si="126"/>
        <v>3.6387208781362</v>
      </c>
      <c r="X35" s="1"/>
      <c r="Y35" s="2">
        <v>8</v>
      </c>
      <c r="Z35" s="2">
        <v>350.65</v>
      </c>
      <c r="AA35" s="8">
        <f t="shared" si="153"/>
        <v>46.8282585470085</v>
      </c>
      <c r="AB35" s="2">
        <v>353.525</v>
      </c>
      <c r="AC35" s="8">
        <f t="shared" ref="AC35:AG35" si="169">AB35/748.8*100</f>
        <v>47.2122061965812</v>
      </c>
      <c r="AD35" s="2">
        <v>318.297</v>
      </c>
      <c r="AE35" s="8">
        <f t="shared" si="169"/>
        <v>42.5076121794872</v>
      </c>
      <c r="AF35" s="2">
        <v>30.22</v>
      </c>
      <c r="AG35" s="8">
        <f t="shared" si="169"/>
        <v>4.0357905982906</v>
      </c>
      <c r="AH35" s="8">
        <f t="shared" si="155"/>
        <v>643.789473684211</v>
      </c>
      <c r="AI35" s="8">
        <f t="shared" si="156"/>
        <v>85.9761583445794</v>
      </c>
      <c r="AJ35" s="7">
        <f t="shared" si="157"/>
        <v>1.83598880274978</v>
      </c>
      <c r="AK35" s="7">
        <f t="shared" si="158"/>
        <v>1.82105784225786</v>
      </c>
      <c r="AL35" s="7">
        <f t="shared" si="159"/>
        <v>2.02260616243386</v>
      </c>
      <c r="AM35" s="7">
        <f t="shared" si="160"/>
        <v>21.3034240133756</v>
      </c>
      <c r="AN35" s="1"/>
      <c r="AO35" s="2">
        <v>8</v>
      </c>
      <c r="AP35" s="8">
        <v>1065.12</v>
      </c>
      <c r="AQ35" s="8">
        <f t="shared" ref="AQ35:AU35" si="170">AP35/1728*100</f>
        <v>61.6388888888889</v>
      </c>
      <c r="AR35" s="8">
        <v>633.521</v>
      </c>
      <c r="AS35" s="8">
        <f t="shared" si="170"/>
        <v>36.6620949074074</v>
      </c>
      <c r="AT35" s="8">
        <v>624.626</v>
      </c>
      <c r="AU35" s="8">
        <f t="shared" si="170"/>
        <v>36.147337962963</v>
      </c>
      <c r="AV35" s="8">
        <v>136.02</v>
      </c>
      <c r="AW35" s="8">
        <f t="shared" si="162"/>
        <v>15.7430555555556</v>
      </c>
      <c r="AX35" s="8">
        <f t="shared" si="163"/>
        <v>1652.97297297297</v>
      </c>
      <c r="AY35" s="8">
        <f t="shared" si="129"/>
        <v>95.6581581581582</v>
      </c>
      <c r="AZ35" s="7">
        <f t="shared" si="164"/>
        <v>1.55191243519319</v>
      </c>
      <c r="BA35" s="7">
        <f t="shared" si="165"/>
        <v>2.60918418327565</v>
      </c>
      <c r="BB35" s="7">
        <f t="shared" si="166"/>
        <v>2.64634032680832</v>
      </c>
      <c r="BC35" s="7">
        <f t="shared" si="167"/>
        <v>12.1524259151079</v>
      </c>
      <c r="BE35" s="1"/>
      <c r="BF35" s="2">
        <v>8</v>
      </c>
      <c r="BG35" s="8">
        <v>1167.83</v>
      </c>
      <c r="BH35" s="8">
        <f t="shared" ref="BH35:BL35" si="171">BG35/2039.76*100</f>
        <v>57.253304310311</v>
      </c>
      <c r="BI35" s="8">
        <v>1189.043</v>
      </c>
      <c r="BJ35" s="8">
        <f t="shared" si="171"/>
        <v>58.2932796015217</v>
      </c>
      <c r="BK35" s="8">
        <v>317.29</v>
      </c>
      <c r="BL35" s="8">
        <f t="shared" si="171"/>
        <v>15.5552614033024</v>
      </c>
      <c r="BM35" s="8">
        <f t="shared" si="33"/>
        <v>1747.42857142857</v>
      </c>
      <c r="BN35" s="8">
        <f t="shared" si="131"/>
        <v>85.6683419337849</v>
      </c>
      <c r="BO35" s="7">
        <f t="shared" si="35"/>
        <v>1.49630388963169</v>
      </c>
      <c r="BP35" s="7">
        <f t="shared" si="36"/>
        <v>1.46960923316362</v>
      </c>
      <c r="BQ35" s="7">
        <f t="shared" si="37"/>
        <v>5.50735469579429</v>
      </c>
    </row>
    <row r="36" ht="20.4" spans="1:69">
      <c r="A36" s="1"/>
      <c r="B36" s="2">
        <v>9</v>
      </c>
      <c r="C36" s="2">
        <v>10368</v>
      </c>
      <c r="D36" s="2">
        <v>80896</v>
      </c>
      <c r="E36" s="2">
        <v>1920</v>
      </c>
      <c r="F36" s="2">
        <v>5676</v>
      </c>
      <c r="G36" s="2">
        <v>79.4</v>
      </c>
      <c r="H36" s="2">
        <v>6114</v>
      </c>
      <c r="I36" s="2">
        <v>85.6</v>
      </c>
      <c r="J36" s="5">
        <v>6.2</v>
      </c>
      <c r="K36" s="7">
        <f t="shared" si="144"/>
        <v>1.07716701902748</v>
      </c>
      <c r="L36" s="7">
        <f t="shared" si="145"/>
        <v>2.00935596099076</v>
      </c>
      <c r="M36" s="7">
        <f t="shared" si="146"/>
        <v>2.00635048980679</v>
      </c>
      <c r="N36" s="7">
        <f t="shared" si="147"/>
        <v>2.29707274634771</v>
      </c>
      <c r="O36" s="7">
        <f t="shared" si="148"/>
        <v>31.5688380354414</v>
      </c>
      <c r="P36" s="8">
        <f t="shared" si="149"/>
        <v>3042.766</v>
      </c>
      <c r="Q36" s="8">
        <f t="shared" si="123"/>
        <v>42.6014504928315</v>
      </c>
      <c r="R36" s="8">
        <f t="shared" si="150"/>
        <v>3047.324</v>
      </c>
      <c r="S36" s="8">
        <f t="shared" si="124"/>
        <v>42.6652665770609</v>
      </c>
      <c r="T36" s="8">
        <f t="shared" si="151"/>
        <v>2661.6484</v>
      </c>
      <c r="U36" s="8">
        <f t="shared" si="125"/>
        <v>37.2654625896057</v>
      </c>
      <c r="V36" s="8">
        <f t="shared" si="152"/>
        <v>193.672</v>
      </c>
      <c r="W36" s="8">
        <f t="shared" si="126"/>
        <v>2.71158154121864</v>
      </c>
      <c r="X36" s="1"/>
      <c r="Y36" s="2">
        <v>9</v>
      </c>
      <c r="Z36" s="2">
        <v>353.81</v>
      </c>
      <c r="AA36" s="8">
        <f t="shared" si="153"/>
        <v>47.2502670940171</v>
      </c>
      <c r="AB36" s="2">
        <v>354.34</v>
      </c>
      <c r="AC36" s="8">
        <f t="shared" ref="AC36:AG36" si="172">AB36/748.8*100</f>
        <v>47.321047008547</v>
      </c>
      <c r="AD36" s="2">
        <v>309.494</v>
      </c>
      <c r="AE36" s="8">
        <f t="shared" si="172"/>
        <v>41.3319978632479</v>
      </c>
      <c r="AF36" s="2">
        <v>22.52</v>
      </c>
      <c r="AG36" s="8">
        <f t="shared" si="172"/>
        <v>3.00747863247863</v>
      </c>
      <c r="AH36" s="8">
        <f t="shared" si="155"/>
        <v>643.578947368421</v>
      </c>
      <c r="AI36" s="8">
        <f t="shared" si="156"/>
        <v>85.9480431848853</v>
      </c>
      <c r="AJ36" s="7">
        <f t="shared" si="157"/>
        <v>1.81899592258111</v>
      </c>
      <c r="AK36" s="7">
        <f t="shared" si="158"/>
        <v>1.81627518024615</v>
      </c>
      <c r="AL36" s="7">
        <f t="shared" si="159"/>
        <v>2.07945532827267</v>
      </c>
      <c r="AM36" s="7">
        <f t="shared" si="160"/>
        <v>28.5781060110311</v>
      </c>
      <c r="AN36" s="1"/>
      <c r="AO36" s="2">
        <v>9</v>
      </c>
      <c r="AP36" s="8">
        <v>1070.83</v>
      </c>
      <c r="AQ36" s="8">
        <f t="shared" ref="AQ36:AU36" si="173">AP36/1728*100</f>
        <v>61.9693287037037</v>
      </c>
      <c r="AR36" s="8">
        <v>627.085</v>
      </c>
      <c r="AS36" s="8">
        <f t="shared" si="173"/>
        <v>36.2896412037037</v>
      </c>
      <c r="AT36" s="8">
        <v>625.36</v>
      </c>
      <c r="AU36" s="8">
        <f t="shared" si="173"/>
        <v>36.1898148148148</v>
      </c>
      <c r="AV36" s="8">
        <v>147.7</v>
      </c>
      <c r="AW36" s="8">
        <f t="shared" si="162"/>
        <v>17.0949074074074</v>
      </c>
      <c r="AX36" s="8">
        <f t="shared" si="163"/>
        <v>1652.43243243243</v>
      </c>
      <c r="AY36" s="8">
        <f t="shared" si="129"/>
        <v>95.6268768768769</v>
      </c>
      <c r="AZ36" s="7">
        <f t="shared" si="164"/>
        <v>1.5431323668859</v>
      </c>
      <c r="BA36" s="7">
        <f t="shared" si="165"/>
        <v>2.63510119430768</v>
      </c>
      <c r="BB36" s="7">
        <f t="shared" si="166"/>
        <v>2.64236988683707</v>
      </c>
      <c r="BC36" s="7">
        <f t="shared" si="167"/>
        <v>11.1877618986624</v>
      </c>
      <c r="BE36" s="1"/>
      <c r="BF36" s="2">
        <v>9</v>
      </c>
      <c r="BG36" s="8">
        <v>1142.68</v>
      </c>
      <c r="BH36" s="8">
        <f t="shared" ref="BH36:BL36" si="174">BG36/2039.76*100</f>
        <v>56.0203161156214</v>
      </c>
      <c r="BI36" s="8">
        <v>1181.521</v>
      </c>
      <c r="BJ36" s="8">
        <f t="shared" si="174"/>
        <v>57.9245107267522</v>
      </c>
      <c r="BK36" s="8">
        <v>326.8</v>
      </c>
      <c r="BL36" s="8">
        <f t="shared" si="174"/>
        <v>16.0214927246343</v>
      </c>
      <c r="BM36" s="8">
        <f t="shared" si="33"/>
        <v>1746.85714285714</v>
      </c>
      <c r="BN36" s="8">
        <f t="shared" si="131"/>
        <v>85.6403274334796</v>
      </c>
      <c r="BO36" s="7">
        <f t="shared" si="35"/>
        <v>1.52873695422791</v>
      </c>
      <c r="BP36" s="7">
        <f t="shared" si="36"/>
        <v>1.47848167138556</v>
      </c>
      <c r="BQ36" s="7">
        <f t="shared" si="37"/>
        <v>5.3453400944221</v>
      </c>
    </row>
    <row r="37" ht="20.4" spans="1:69">
      <c r="A37" s="1"/>
      <c r="B37" s="2">
        <v>10</v>
      </c>
      <c r="C37" s="2">
        <v>8064</v>
      </c>
      <c r="D37" s="2">
        <v>76288</v>
      </c>
      <c r="E37" s="2">
        <v>1920</v>
      </c>
      <c r="F37" s="2">
        <v>5485</v>
      </c>
      <c r="G37" s="2">
        <v>76.8</v>
      </c>
      <c r="H37" s="2">
        <v>6068</v>
      </c>
      <c r="I37" s="2">
        <v>84.9</v>
      </c>
      <c r="J37" s="5">
        <v>8.1</v>
      </c>
      <c r="K37" s="7">
        <f t="shared" si="144"/>
        <v>1.10628988149499</v>
      </c>
      <c r="L37" s="7">
        <f t="shared" si="145"/>
        <v>1.99683428710581</v>
      </c>
      <c r="M37" s="7">
        <f t="shared" si="146"/>
        <v>2.00204123743041</v>
      </c>
      <c r="N37" s="7">
        <f t="shared" si="147"/>
        <v>2.26662232035785</v>
      </c>
      <c r="O37" s="7">
        <f t="shared" si="148"/>
        <v>30.2694721299372</v>
      </c>
      <c r="P37" s="8">
        <f t="shared" si="149"/>
        <v>3038.81</v>
      </c>
      <c r="Q37" s="8">
        <f t="shared" si="123"/>
        <v>42.5460629480287</v>
      </c>
      <c r="R37" s="8">
        <f t="shared" si="150"/>
        <v>3030.9066</v>
      </c>
      <c r="S37" s="8">
        <f t="shared" si="124"/>
        <v>42.435408266129</v>
      </c>
      <c r="T37" s="8">
        <f t="shared" si="151"/>
        <v>2677.1112</v>
      </c>
      <c r="U37" s="8">
        <f t="shared" si="125"/>
        <v>37.4819556451613</v>
      </c>
      <c r="V37" s="8">
        <f t="shared" si="152"/>
        <v>200.466</v>
      </c>
      <c r="W37" s="8">
        <f t="shared" si="126"/>
        <v>2.80670362903226</v>
      </c>
      <c r="X37" s="1"/>
      <c r="Y37" s="2">
        <v>10</v>
      </c>
      <c r="Z37" s="2">
        <v>353.35</v>
      </c>
      <c r="AA37" s="8">
        <f t="shared" si="153"/>
        <v>47.1888354700855</v>
      </c>
      <c r="AB37" s="2">
        <v>352.431</v>
      </c>
      <c r="AC37" s="8">
        <f t="shared" ref="AC37:AG37" si="175">AB37/748.8*100</f>
        <v>47.0661057692308</v>
      </c>
      <c r="AD37" s="2">
        <v>311.292</v>
      </c>
      <c r="AE37" s="8">
        <f t="shared" si="175"/>
        <v>41.5721153846154</v>
      </c>
      <c r="AF37" s="2">
        <v>23.31</v>
      </c>
      <c r="AG37" s="8">
        <f t="shared" si="175"/>
        <v>3.11298076923077</v>
      </c>
      <c r="AH37" s="8">
        <f t="shared" si="155"/>
        <v>638.736842105263</v>
      </c>
      <c r="AI37" s="8">
        <f t="shared" si="156"/>
        <v>85.3013945119208</v>
      </c>
      <c r="AJ37" s="7">
        <f t="shared" si="157"/>
        <v>1.80766051253789</v>
      </c>
      <c r="AK37" s="7">
        <f t="shared" si="158"/>
        <v>1.81237417283174</v>
      </c>
      <c r="AL37" s="7">
        <f t="shared" si="159"/>
        <v>2.05188967948185</v>
      </c>
      <c r="AM37" s="7">
        <f t="shared" si="160"/>
        <v>27.4018379281537</v>
      </c>
      <c r="AN37" s="1"/>
      <c r="AO37" s="2">
        <v>10</v>
      </c>
      <c r="AP37" s="8">
        <v>1086.56</v>
      </c>
      <c r="AQ37" s="8">
        <f t="shared" ref="AQ37:AU37" si="176">AP37/1728*100</f>
        <v>62.8796296296296</v>
      </c>
      <c r="AR37" s="8">
        <v>632.215</v>
      </c>
      <c r="AS37" s="8">
        <f t="shared" si="176"/>
        <v>36.5865162037037</v>
      </c>
      <c r="AT37" s="8">
        <v>610.442</v>
      </c>
      <c r="AU37" s="8">
        <f t="shared" si="176"/>
        <v>35.3265046296296</v>
      </c>
      <c r="AV37" s="8">
        <v>151.46</v>
      </c>
      <c r="AW37" s="8">
        <f t="shared" si="162"/>
        <v>17.5300925925926</v>
      </c>
      <c r="AX37" s="8">
        <f t="shared" si="163"/>
        <v>1640</v>
      </c>
      <c r="AY37" s="8">
        <f t="shared" si="129"/>
        <v>94.9074074074074</v>
      </c>
      <c r="AZ37" s="7">
        <f t="shared" si="164"/>
        <v>1.50935061110293</v>
      </c>
      <c r="BA37" s="7">
        <f t="shared" si="165"/>
        <v>2.59405423787794</v>
      </c>
      <c r="BB37" s="7">
        <f t="shared" si="166"/>
        <v>2.68657792222685</v>
      </c>
      <c r="BC37" s="7">
        <f t="shared" si="167"/>
        <v>10.8279413706589</v>
      </c>
      <c r="BE37" s="1"/>
      <c r="BF37" s="2">
        <v>10</v>
      </c>
      <c r="BG37" s="8">
        <v>1144.49</v>
      </c>
      <c r="BH37" s="8">
        <f t="shared" ref="BH37:BL37" si="177">BG37/2039.76*100</f>
        <v>56.1090520453387</v>
      </c>
      <c r="BI37" s="8">
        <v>1176.57</v>
      </c>
      <c r="BJ37" s="8">
        <f t="shared" si="177"/>
        <v>57.6817860924815</v>
      </c>
      <c r="BK37" s="8">
        <v>319.62</v>
      </c>
      <c r="BL37" s="8">
        <f t="shared" si="177"/>
        <v>15.6694905282974</v>
      </c>
      <c r="BM37" s="8">
        <f t="shared" ref="BM37:BM54" si="178">H37/3.5</f>
        <v>1733.71428571429</v>
      </c>
      <c r="BN37" s="8">
        <f t="shared" si="131"/>
        <v>84.9959939264563</v>
      </c>
      <c r="BO37" s="7">
        <f t="shared" ref="BO37:BO54" si="179">BM37/BG37</f>
        <v>1.51483567852431</v>
      </c>
      <c r="BP37" s="7">
        <f t="shared" ref="BP37:BP54" si="180">BM37/BI37</f>
        <v>1.47353262934996</v>
      </c>
      <c r="BQ37" s="7">
        <f t="shared" ref="BQ37:BQ54" si="181">BM37/BK37</f>
        <v>5.42429849732271</v>
      </c>
    </row>
    <row r="38" ht="20.4" spans="1:69">
      <c r="A38" s="1"/>
      <c r="B38" s="2">
        <v>11</v>
      </c>
      <c r="C38" s="2">
        <v>8064</v>
      </c>
      <c r="D38" s="2">
        <v>74752</v>
      </c>
      <c r="E38" s="2">
        <v>1920</v>
      </c>
      <c r="F38" s="2">
        <v>5472</v>
      </c>
      <c r="G38" s="2">
        <v>76.6</v>
      </c>
      <c r="H38" s="2">
        <v>6066</v>
      </c>
      <c r="I38" s="2">
        <v>84.9</v>
      </c>
      <c r="J38" s="5">
        <v>8.3</v>
      </c>
      <c r="K38" s="7">
        <f t="shared" si="144"/>
        <v>1.10855263157895</v>
      </c>
      <c r="L38" s="7">
        <f t="shared" si="145"/>
        <v>2.00976988035475</v>
      </c>
      <c r="M38" s="7">
        <f t="shared" si="146"/>
        <v>1.9840199069218</v>
      </c>
      <c r="N38" s="7">
        <f t="shared" si="147"/>
        <v>2.28373180299459</v>
      </c>
      <c r="O38" s="7">
        <f t="shared" si="148"/>
        <v>30.3506384341352</v>
      </c>
      <c r="P38" s="8">
        <f t="shared" si="149"/>
        <v>3018.256</v>
      </c>
      <c r="Q38" s="8">
        <f t="shared" si="123"/>
        <v>42.2582885304659</v>
      </c>
      <c r="R38" s="8">
        <f t="shared" si="150"/>
        <v>3057.429</v>
      </c>
      <c r="S38" s="8">
        <f t="shared" si="124"/>
        <v>42.8067456317204</v>
      </c>
      <c r="T38" s="8">
        <f t="shared" si="151"/>
        <v>2656.1788</v>
      </c>
      <c r="U38" s="8">
        <f t="shared" si="125"/>
        <v>37.1888832885305</v>
      </c>
      <c r="V38" s="8">
        <f t="shared" si="152"/>
        <v>199.864</v>
      </c>
      <c r="W38" s="8">
        <f t="shared" si="126"/>
        <v>2.79827508960573</v>
      </c>
      <c r="X38" s="1"/>
      <c r="Y38" s="2">
        <v>11</v>
      </c>
      <c r="Z38" s="2">
        <v>350.96</v>
      </c>
      <c r="AA38" s="8">
        <f t="shared" si="153"/>
        <v>46.8696581196581</v>
      </c>
      <c r="AB38" s="2">
        <v>355.515</v>
      </c>
      <c r="AC38" s="8">
        <f t="shared" ref="AC38:AG38" si="182">AB38/748.8*100</f>
        <v>47.4779647435897</v>
      </c>
      <c r="AD38" s="2">
        <v>308.858</v>
      </c>
      <c r="AE38" s="8">
        <f t="shared" si="182"/>
        <v>41.247061965812</v>
      </c>
      <c r="AF38" s="2">
        <v>23.24</v>
      </c>
      <c r="AG38" s="8">
        <f t="shared" si="182"/>
        <v>3.10363247863248</v>
      </c>
      <c r="AH38" s="8">
        <f t="shared" si="155"/>
        <v>638.526315789474</v>
      </c>
      <c r="AI38" s="8">
        <f t="shared" si="156"/>
        <v>85.2732793522267</v>
      </c>
      <c r="AJ38" s="7">
        <f t="shared" si="157"/>
        <v>1.81937062853167</v>
      </c>
      <c r="AK38" s="7">
        <f t="shared" si="158"/>
        <v>1.79606012626605</v>
      </c>
      <c r="AL38" s="7">
        <f t="shared" si="159"/>
        <v>2.06737826376352</v>
      </c>
      <c r="AM38" s="7">
        <f t="shared" si="160"/>
        <v>27.4753147930066</v>
      </c>
      <c r="AN38" s="1"/>
      <c r="AO38" s="2">
        <v>11</v>
      </c>
      <c r="AP38" s="8">
        <v>1087.51</v>
      </c>
      <c r="AQ38" s="8">
        <f t="shared" ref="AQ38:AU38" si="183">AP38/1728*100</f>
        <v>62.9346064814815</v>
      </c>
      <c r="AR38" s="8">
        <v>639.512</v>
      </c>
      <c r="AS38" s="8">
        <f t="shared" si="183"/>
        <v>37.0087962962963</v>
      </c>
      <c r="AT38" s="8">
        <v>614.128</v>
      </c>
      <c r="AU38" s="8">
        <f t="shared" si="183"/>
        <v>35.5398148148148</v>
      </c>
      <c r="AV38" s="8">
        <v>152.56</v>
      </c>
      <c r="AW38" s="8">
        <f t="shared" si="162"/>
        <v>17.6574074074074</v>
      </c>
      <c r="AX38" s="8">
        <f t="shared" si="163"/>
        <v>1639.45945945946</v>
      </c>
      <c r="AY38" s="8">
        <f t="shared" si="129"/>
        <v>94.8761261261261</v>
      </c>
      <c r="AZ38" s="7">
        <f t="shared" si="164"/>
        <v>1.50753506584717</v>
      </c>
      <c r="BA38" s="7">
        <f t="shared" si="165"/>
        <v>2.563610158151</v>
      </c>
      <c r="BB38" s="7">
        <f t="shared" si="166"/>
        <v>2.6695728894619</v>
      </c>
      <c r="BC38" s="7">
        <f t="shared" si="167"/>
        <v>10.746325769923</v>
      </c>
      <c r="BE38" s="1"/>
      <c r="BF38" s="2">
        <v>11</v>
      </c>
      <c r="BG38" s="8">
        <v>1127.15</v>
      </c>
      <c r="BH38" s="8">
        <f t="shared" ref="BH38:BL38" si="184">BG38/2039.76*100</f>
        <v>55.2589520335726</v>
      </c>
      <c r="BI38" s="8">
        <v>1174.739</v>
      </c>
      <c r="BJ38" s="8">
        <f t="shared" si="184"/>
        <v>57.592020629878</v>
      </c>
      <c r="BK38" s="8">
        <v>329.51</v>
      </c>
      <c r="BL38" s="8">
        <f t="shared" si="184"/>
        <v>16.1543514923324</v>
      </c>
      <c r="BM38" s="8">
        <f t="shared" si="178"/>
        <v>1733.14285714286</v>
      </c>
      <c r="BN38" s="8">
        <f t="shared" si="131"/>
        <v>84.967979426151</v>
      </c>
      <c r="BO38" s="7">
        <f t="shared" si="179"/>
        <v>1.53763284136349</v>
      </c>
      <c r="BP38" s="7">
        <f t="shared" si="180"/>
        <v>1.47534291203651</v>
      </c>
      <c r="BQ38" s="7">
        <f t="shared" si="181"/>
        <v>5.25975799563855</v>
      </c>
    </row>
    <row r="39" ht="20.4" spans="1:69">
      <c r="A39" s="1"/>
      <c r="B39" s="2">
        <v>12</v>
      </c>
      <c r="C39" s="2">
        <v>8064</v>
      </c>
      <c r="D39" s="2">
        <v>62424</v>
      </c>
      <c r="E39" s="2">
        <v>1920</v>
      </c>
      <c r="F39" s="2">
        <v>5482</v>
      </c>
      <c r="G39" s="2">
        <v>76.7</v>
      </c>
      <c r="H39" s="2">
        <v>6071</v>
      </c>
      <c r="I39" s="2">
        <v>85</v>
      </c>
      <c r="J39" s="5">
        <v>8.3</v>
      </c>
      <c r="K39" s="7">
        <f t="shared" si="144"/>
        <v>1.10744253921926</v>
      </c>
      <c r="L39" s="7">
        <f t="shared" si="145"/>
        <v>1.9894885792017</v>
      </c>
      <c r="M39" s="7">
        <f t="shared" si="146"/>
        <v>2.00001199150659</v>
      </c>
      <c r="N39" s="7">
        <f t="shared" si="147"/>
        <v>2.25251113622064</v>
      </c>
      <c r="O39" s="7">
        <f t="shared" si="148"/>
        <v>13.4411696983652</v>
      </c>
      <c r="P39" s="8">
        <f t="shared" si="149"/>
        <v>3051.538</v>
      </c>
      <c r="Q39" s="8">
        <f t="shared" si="123"/>
        <v>42.7242663530466</v>
      </c>
      <c r="R39" s="8">
        <f t="shared" si="150"/>
        <v>3035.4818</v>
      </c>
      <c r="S39" s="8">
        <f t="shared" si="124"/>
        <v>42.4994651657706</v>
      </c>
      <c r="T39" s="8">
        <f t="shared" si="151"/>
        <v>2695.2142</v>
      </c>
      <c r="U39" s="8">
        <f t="shared" si="125"/>
        <v>37.7354138664875</v>
      </c>
      <c r="V39" s="8">
        <f t="shared" si="152"/>
        <v>451.672</v>
      </c>
      <c r="W39" s="8">
        <f t="shared" si="126"/>
        <v>6.32381272401434</v>
      </c>
      <c r="X39" s="1"/>
      <c r="Y39" s="2">
        <v>12</v>
      </c>
      <c r="Z39" s="2">
        <v>354.83</v>
      </c>
      <c r="AA39" s="8">
        <f t="shared" si="153"/>
        <v>47.386485042735</v>
      </c>
      <c r="AB39" s="2">
        <v>352.963</v>
      </c>
      <c r="AC39" s="8">
        <f t="shared" ref="AC39:AG39" si="185">AB39/748.8*100</f>
        <v>47.1371527777778</v>
      </c>
      <c r="AD39" s="2">
        <v>313.397</v>
      </c>
      <c r="AE39" s="8">
        <f t="shared" si="185"/>
        <v>41.8532318376068</v>
      </c>
      <c r="AF39" s="2">
        <v>52.52</v>
      </c>
      <c r="AG39" s="8">
        <f t="shared" si="185"/>
        <v>7.01388888888889</v>
      </c>
      <c r="AH39" s="8">
        <f t="shared" si="155"/>
        <v>639.052631578947</v>
      </c>
      <c r="AI39" s="8">
        <f t="shared" si="156"/>
        <v>85.343567251462</v>
      </c>
      <c r="AJ39" s="7">
        <f t="shared" si="157"/>
        <v>1.80101071380365</v>
      </c>
      <c r="AK39" s="7">
        <f t="shared" si="158"/>
        <v>1.81053717125859</v>
      </c>
      <c r="AL39" s="7">
        <f t="shared" si="159"/>
        <v>2.03911534436816</v>
      </c>
      <c r="AM39" s="7">
        <f t="shared" si="160"/>
        <v>12.1677957269411</v>
      </c>
      <c r="AN39" s="1"/>
      <c r="AO39" s="2">
        <v>12</v>
      </c>
      <c r="AP39" s="8">
        <v>1095.84</v>
      </c>
      <c r="AQ39" s="8">
        <f t="shared" ref="AQ39:AU39" si="186">AP39/1728*100</f>
        <v>63.4166666666667</v>
      </c>
      <c r="AR39" s="8">
        <v>637.948</v>
      </c>
      <c r="AS39" s="8">
        <f t="shared" si="186"/>
        <v>36.918287037037</v>
      </c>
      <c r="AT39" s="8">
        <v>611.67</v>
      </c>
      <c r="AU39" s="8">
        <f t="shared" si="186"/>
        <v>35.3975694444444</v>
      </c>
      <c r="AV39" s="8">
        <v>155.65</v>
      </c>
      <c r="AW39" s="8">
        <f t="shared" si="162"/>
        <v>18.0150462962963</v>
      </c>
      <c r="AX39" s="8">
        <f t="shared" si="163"/>
        <v>1640.81081081081</v>
      </c>
      <c r="AY39" s="8">
        <f t="shared" si="129"/>
        <v>94.9543293293293</v>
      </c>
      <c r="AZ39" s="7">
        <f t="shared" si="164"/>
        <v>1.49730874106695</v>
      </c>
      <c r="BA39" s="7">
        <f t="shared" si="165"/>
        <v>2.57201340988734</v>
      </c>
      <c r="BB39" s="7">
        <f t="shared" si="166"/>
        <v>2.68250986775681</v>
      </c>
      <c r="BC39" s="7">
        <f t="shared" si="167"/>
        <v>10.541669198913</v>
      </c>
      <c r="BE39" s="1"/>
      <c r="BF39" s="2">
        <v>12</v>
      </c>
      <c r="BG39" s="8">
        <v>1155.15</v>
      </c>
      <c r="BH39" s="8">
        <f t="shared" ref="BH39:BL39" si="187">BG39/2039.76*100</f>
        <v>56.6316625485351</v>
      </c>
      <c r="BI39" s="8">
        <v>1189.767</v>
      </c>
      <c r="BJ39" s="8">
        <f t="shared" si="187"/>
        <v>58.3287739734086</v>
      </c>
      <c r="BK39" s="8">
        <v>316.17</v>
      </c>
      <c r="BL39" s="8">
        <f t="shared" si="187"/>
        <v>15.5003529827039</v>
      </c>
      <c r="BM39" s="8">
        <f t="shared" si="178"/>
        <v>1734.57142857143</v>
      </c>
      <c r="BN39" s="8">
        <f t="shared" si="131"/>
        <v>85.0380156769144</v>
      </c>
      <c r="BO39" s="7">
        <f t="shared" si="179"/>
        <v>1.50159843186723</v>
      </c>
      <c r="BP39" s="7">
        <f t="shared" si="180"/>
        <v>1.45790850525475</v>
      </c>
      <c r="BQ39" s="7">
        <f t="shared" si="181"/>
        <v>5.48619865443093</v>
      </c>
    </row>
    <row r="40" ht="20.4" spans="2:70">
      <c r="B40" s="2"/>
      <c r="C40" s="3"/>
      <c r="D40" s="3"/>
      <c r="E40" s="3"/>
      <c r="F40" s="3"/>
      <c r="G40" s="3"/>
      <c r="H40" s="3"/>
      <c r="I40" s="3"/>
      <c r="J40" s="3"/>
      <c r="K40" s="3">
        <f>MAX(K28:K39)</f>
        <v>1.14240837696335</v>
      </c>
      <c r="L40" s="3">
        <f>MAX(L28:L39)</f>
        <v>2.03908173219125</v>
      </c>
      <c r="M40" s="3">
        <f>MAX(M28:M39)</f>
        <v>2.01163366295927</v>
      </c>
      <c r="N40" s="3">
        <f>MAX(N28:N39)</f>
        <v>2.29707274634771</v>
      </c>
      <c r="O40" s="9">
        <f>MAX(O28:O39)</f>
        <v>33.0648304534234</v>
      </c>
      <c r="P40" s="10"/>
      <c r="Q40" s="10"/>
      <c r="R40" s="10"/>
      <c r="S40" s="10"/>
      <c r="T40" s="10"/>
      <c r="U40" s="10"/>
      <c r="V40" s="10"/>
      <c r="W40" s="2"/>
      <c r="X40" s="3"/>
      <c r="Y40" s="2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>
        <f>MAX(AJ28:AJ39)</f>
        <v>1.84590556808892</v>
      </c>
      <c r="AK40" s="3">
        <f>MAX(AK28:AK39)</f>
        <v>1.82105784225786</v>
      </c>
      <c r="AL40" s="3">
        <f>MAX(AL28:AL39)</f>
        <v>2.07945532827267</v>
      </c>
      <c r="AM40" s="3">
        <f>MAX(AM28:AM39)</f>
        <v>29.9323728315201</v>
      </c>
      <c r="AN40" s="3"/>
      <c r="AO40" s="2"/>
      <c r="AP40" s="13"/>
      <c r="AQ40" s="13"/>
      <c r="AR40" s="13"/>
      <c r="AS40" s="13"/>
      <c r="AT40" s="13"/>
      <c r="AU40" s="13"/>
      <c r="AV40" s="3"/>
      <c r="AW40" s="3"/>
      <c r="AX40" s="3"/>
      <c r="AY40" s="3"/>
      <c r="AZ40" s="3">
        <f>MAX(AZ28:AZ39)</f>
        <v>1.55654636306367</v>
      </c>
      <c r="BA40" s="3">
        <f>MAX(BA28:BA39)</f>
        <v>2.63673679733263</v>
      </c>
      <c r="BB40" s="3">
        <f>MAX(BB28:BB39)</f>
        <v>2.68657792222685</v>
      </c>
      <c r="BC40" s="3">
        <f>MAX(BC28:BC39)</f>
        <v>12.1524259151079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>
        <f>MAX(BO28:BO39)</f>
        <v>1.57254078101829</v>
      </c>
      <c r="BP40" s="3">
        <f>MAX(BP28:BP39)</f>
        <v>1.48697436746379</v>
      </c>
      <c r="BQ40" s="3">
        <f>MAX(BQ28:BQ39)</f>
        <v>5.50735469579429</v>
      </c>
      <c r="BR40" s="3"/>
    </row>
    <row r="41" ht="20.4" spans="2:69">
      <c r="B41" s="2" t="s">
        <v>26</v>
      </c>
      <c r="C41" s="2" t="s">
        <v>0</v>
      </c>
      <c r="D41" s="2" t="s">
        <v>1</v>
      </c>
      <c r="E41" s="2" t="s">
        <v>2</v>
      </c>
      <c r="F41" s="2" t="s">
        <v>27</v>
      </c>
      <c r="G41" s="2" t="s">
        <v>23</v>
      </c>
      <c r="H41" s="2" t="s">
        <v>28</v>
      </c>
      <c r="I41" s="2" t="s">
        <v>23</v>
      </c>
      <c r="J41" s="5" t="s">
        <v>7</v>
      </c>
      <c r="K41" s="6" t="s">
        <v>14</v>
      </c>
      <c r="L41" s="6" t="s">
        <v>15</v>
      </c>
      <c r="M41" s="6" t="s">
        <v>16</v>
      </c>
      <c r="N41" s="6" t="s">
        <v>17</v>
      </c>
      <c r="O41" s="6" t="s">
        <v>18</v>
      </c>
      <c r="P41" s="2" t="s">
        <v>19</v>
      </c>
      <c r="Q41" s="2" t="s">
        <v>23</v>
      </c>
      <c r="R41" s="2" t="s">
        <v>20</v>
      </c>
      <c r="S41" s="2" t="s">
        <v>23</v>
      </c>
      <c r="T41" s="2" t="s">
        <v>21</v>
      </c>
      <c r="U41" s="2" t="s">
        <v>23</v>
      </c>
      <c r="V41" s="2" t="s">
        <v>22</v>
      </c>
      <c r="W41" s="2" t="s">
        <v>23</v>
      </c>
      <c r="X41" s="11"/>
      <c r="Y41" s="2" t="s">
        <v>26</v>
      </c>
      <c r="Z41" s="2" t="s">
        <v>19</v>
      </c>
      <c r="AA41" s="2" t="s">
        <v>23</v>
      </c>
      <c r="AB41" s="2" t="s">
        <v>20</v>
      </c>
      <c r="AC41" s="2" t="s">
        <v>23</v>
      </c>
      <c r="AD41" s="2" t="s">
        <v>21</v>
      </c>
      <c r="AE41" s="2" t="s">
        <v>23</v>
      </c>
      <c r="AF41" s="2" t="s">
        <v>22</v>
      </c>
      <c r="AG41" s="2" t="s">
        <v>23</v>
      </c>
      <c r="AH41" s="2" t="s">
        <v>24</v>
      </c>
      <c r="AI41" s="2" t="s">
        <v>23</v>
      </c>
      <c r="AJ41" s="6" t="s">
        <v>15</v>
      </c>
      <c r="AK41" s="6" t="s">
        <v>16</v>
      </c>
      <c r="AL41" s="6" t="s">
        <v>17</v>
      </c>
      <c r="AM41" s="6" t="s">
        <v>18</v>
      </c>
      <c r="AN41" s="3"/>
      <c r="AO41" s="2" t="s">
        <v>26</v>
      </c>
      <c r="AP41" s="2" t="s">
        <v>19</v>
      </c>
      <c r="AQ41" s="2" t="s">
        <v>23</v>
      </c>
      <c r="AR41" s="2" t="s">
        <v>20</v>
      </c>
      <c r="AS41" s="2" t="s">
        <v>23</v>
      </c>
      <c r="AT41" s="2" t="s">
        <v>21</v>
      </c>
      <c r="AU41" s="2" t="s">
        <v>23</v>
      </c>
      <c r="AV41" s="2" t="s">
        <v>22</v>
      </c>
      <c r="AW41" s="2" t="s">
        <v>23</v>
      </c>
      <c r="AX41" s="2" t="s">
        <v>24</v>
      </c>
      <c r="AY41" s="2" t="s">
        <v>23</v>
      </c>
      <c r="AZ41" s="6" t="s">
        <v>15</v>
      </c>
      <c r="BA41" s="6" t="s">
        <v>16</v>
      </c>
      <c r="BB41" s="6" t="s">
        <v>17</v>
      </c>
      <c r="BC41" s="6" t="s">
        <v>18</v>
      </c>
      <c r="BE41" s="1" t="s">
        <v>25</v>
      </c>
      <c r="BF41" s="2" t="s">
        <v>26</v>
      </c>
      <c r="BG41" s="2" t="s">
        <v>19</v>
      </c>
      <c r="BH41" s="2" t="s">
        <v>23</v>
      </c>
      <c r="BI41" s="2" t="s">
        <v>20</v>
      </c>
      <c r="BJ41" s="2" t="s">
        <v>23</v>
      </c>
      <c r="BK41" s="2" t="s">
        <v>22</v>
      </c>
      <c r="BL41" s="2" t="s">
        <v>23</v>
      </c>
      <c r="BM41" s="8" t="s">
        <v>36</v>
      </c>
      <c r="BN41" s="8" t="s">
        <v>23</v>
      </c>
      <c r="BO41" s="6" t="s">
        <v>15</v>
      </c>
      <c r="BP41" s="6" t="s">
        <v>16</v>
      </c>
      <c r="BQ41" s="6" t="s">
        <v>18</v>
      </c>
    </row>
    <row r="42" ht="20.4" spans="1:69">
      <c r="A42" s="1" t="s">
        <v>33</v>
      </c>
      <c r="B42" s="2">
        <v>1</v>
      </c>
      <c r="C42" s="2">
        <v>13440</v>
      </c>
      <c r="D42" s="2">
        <v>28288</v>
      </c>
      <c r="E42" s="2">
        <v>1920</v>
      </c>
      <c r="F42" s="2">
        <v>5532</v>
      </c>
      <c r="G42" s="2">
        <v>77.4</v>
      </c>
      <c r="H42" s="2">
        <v>5972</v>
      </c>
      <c r="I42" s="2">
        <v>83.6</v>
      </c>
      <c r="J42" s="5">
        <v>6.1</v>
      </c>
      <c r="K42" s="7">
        <f t="shared" ref="K42:K54" si="188">H42/F42</f>
        <v>1.07953723788865</v>
      </c>
      <c r="L42" s="7">
        <f t="shared" ref="L42:L54" si="189">H42/P42</f>
        <v>1.98535781985637</v>
      </c>
      <c r="M42" s="7">
        <f t="shared" ref="M42:M54" si="190">H42/R42</f>
        <v>1.97106664277975</v>
      </c>
      <c r="N42" s="7">
        <f t="shared" ref="N42:N54" si="191">H42/T42</f>
        <v>2.25201750147935</v>
      </c>
      <c r="O42" s="7">
        <f t="shared" ref="O42:O54" si="192">H42/V42</f>
        <v>21.0813176882563</v>
      </c>
      <c r="P42" s="8">
        <f t="shared" ref="P42:P54" si="193">Z42*8.6</f>
        <v>3008.022</v>
      </c>
      <c r="Q42" s="8">
        <f>P42/7142.4*100</f>
        <v>42.1150033602151</v>
      </c>
      <c r="R42" s="8">
        <f t="shared" ref="R42:R54" si="194">AB42*8.6</f>
        <v>3029.8316</v>
      </c>
      <c r="S42" s="8">
        <f>R42/7142.4*100</f>
        <v>42.4203573028674</v>
      </c>
      <c r="T42" s="8">
        <f t="shared" ref="T42:T54" si="195">AD42*8.6</f>
        <v>2651.8444</v>
      </c>
      <c r="U42" s="8">
        <f>T42/7142.4*100</f>
        <v>37.1281978046595</v>
      </c>
      <c r="V42" s="8">
        <f t="shared" ref="V42:V54" si="196">AF42*8.6</f>
        <v>283.284</v>
      </c>
      <c r="W42" s="8">
        <f>V42/7142.4*100</f>
        <v>3.96622983870968</v>
      </c>
      <c r="X42" s="1" t="s">
        <v>34</v>
      </c>
      <c r="Y42" s="2">
        <v>1</v>
      </c>
      <c r="Z42" s="2">
        <v>349.77</v>
      </c>
      <c r="AA42" s="8">
        <f t="shared" ref="AA42:AA54" si="197">(Z42/748.8)*100</f>
        <v>46.7107371794872</v>
      </c>
      <c r="AB42" s="2">
        <v>352.306</v>
      </c>
      <c r="AC42" s="8">
        <f t="shared" ref="AC42:AG42" si="198">AB42/748.8*100</f>
        <v>47.0494123931624</v>
      </c>
      <c r="AD42" s="2">
        <v>308.354</v>
      </c>
      <c r="AE42" s="8">
        <f t="shared" si="198"/>
        <v>41.1797542735043</v>
      </c>
      <c r="AF42" s="2">
        <v>32.94</v>
      </c>
      <c r="AG42" s="8">
        <f t="shared" si="198"/>
        <v>4.39903846153846</v>
      </c>
      <c r="AH42" s="8">
        <f t="shared" ref="AH42:AH54" si="199">H42/9.5</f>
        <v>628.631578947368</v>
      </c>
      <c r="AI42" s="8">
        <f t="shared" ref="AI42:AI54" si="200">AH42/748.8*100</f>
        <v>83.9518668466037</v>
      </c>
      <c r="AJ42" s="7">
        <f t="shared" ref="AJ42:AJ54" si="201">AH42/Z42</f>
        <v>1.79727128955419</v>
      </c>
      <c r="AK42" s="7">
        <f t="shared" ref="AK42:AK54" si="202">AH42/AB42</f>
        <v>1.78433401346377</v>
      </c>
      <c r="AL42" s="7">
        <f t="shared" ref="AL42:AL54" si="203">AH42/AD42</f>
        <v>2.03866847502341</v>
      </c>
      <c r="AM42" s="7">
        <f t="shared" ref="AM42:AM54" si="204">AH42/AF42</f>
        <v>19.0841402230531</v>
      </c>
      <c r="AN42" s="1" t="s">
        <v>35</v>
      </c>
      <c r="AO42" s="2">
        <v>1</v>
      </c>
      <c r="AP42" s="8">
        <v>1068.58</v>
      </c>
      <c r="AQ42" s="8">
        <f t="shared" ref="AQ42:AU42" si="205">AP42/1728*100</f>
        <v>61.8391203703704</v>
      </c>
      <c r="AR42" s="8">
        <v>647.432</v>
      </c>
      <c r="AS42" s="8">
        <f t="shared" si="205"/>
        <v>37.4671296296296</v>
      </c>
      <c r="AT42" s="8">
        <v>617.501</v>
      </c>
      <c r="AU42" s="8">
        <f t="shared" si="205"/>
        <v>35.7350115740741</v>
      </c>
      <c r="AV42" s="8">
        <v>146.45</v>
      </c>
      <c r="AW42" s="8">
        <f t="shared" ref="AW42:AW54" si="206">AV42/864*100</f>
        <v>16.9502314814815</v>
      </c>
      <c r="AX42" s="8">
        <f t="shared" ref="AX42:AX54" si="207">H42/3.7</f>
        <v>1614.05405405405</v>
      </c>
      <c r="AY42" s="8">
        <f>AX42/1728*100</f>
        <v>93.4059059059059</v>
      </c>
      <c r="AZ42" s="7">
        <f t="shared" ref="AZ42:AZ54" si="208">AX42/AP42</f>
        <v>1.51046627679168</v>
      </c>
      <c r="BA42" s="7">
        <f t="shared" ref="BA42:BA54" si="209">AX42/AR42</f>
        <v>2.49300938794198</v>
      </c>
      <c r="BB42" s="7">
        <f t="shared" ref="BB42:BB54" si="210">AX42/AT42</f>
        <v>2.61384848616286</v>
      </c>
      <c r="BC42" s="7">
        <f t="shared" ref="BC42:BC54" si="211">AX42/AV42</f>
        <v>11.0211953161765</v>
      </c>
      <c r="BE42" s="1"/>
      <c r="BF42" s="2">
        <v>1</v>
      </c>
      <c r="BG42" s="8">
        <v>1131.38</v>
      </c>
      <c r="BH42" s="8">
        <f t="shared" ref="BH42:BL42" si="212">BG42/2039.76*100</f>
        <v>55.466329372083</v>
      </c>
      <c r="BI42" s="8">
        <v>1185.782</v>
      </c>
      <c r="BJ42" s="8">
        <f t="shared" si="212"/>
        <v>58.1334078519041</v>
      </c>
      <c r="BK42" s="8">
        <v>345.55</v>
      </c>
      <c r="BL42" s="8">
        <f t="shared" si="212"/>
        <v>16.9407185159038</v>
      </c>
      <c r="BM42" s="8">
        <f t="shared" si="178"/>
        <v>1706.28571428571</v>
      </c>
      <c r="BN42" s="8">
        <f>BM42/2039.76*100</f>
        <v>83.6512979117991</v>
      </c>
      <c r="BO42" s="7">
        <f t="shared" si="179"/>
        <v>1.50814555170298</v>
      </c>
      <c r="BP42" s="7">
        <f t="shared" si="180"/>
        <v>1.43895396817097</v>
      </c>
      <c r="BQ42" s="7">
        <f t="shared" si="181"/>
        <v>4.93788370506646</v>
      </c>
    </row>
    <row r="43" ht="20.4" spans="1:69">
      <c r="A43" s="1"/>
      <c r="B43" s="2">
        <v>2</v>
      </c>
      <c r="C43" s="2">
        <v>13440</v>
      </c>
      <c r="D43" s="2">
        <v>25216</v>
      </c>
      <c r="E43" s="2">
        <v>1920</v>
      </c>
      <c r="F43" s="2">
        <v>5520</v>
      </c>
      <c r="G43" s="2">
        <v>77.2</v>
      </c>
      <c r="H43" s="2">
        <v>5964</v>
      </c>
      <c r="I43" s="2">
        <v>83.5</v>
      </c>
      <c r="J43" s="5">
        <v>6.2</v>
      </c>
      <c r="K43" s="7">
        <f t="shared" si="188"/>
        <v>1.0804347826087</v>
      </c>
      <c r="L43" s="7">
        <f t="shared" si="189"/>
        <v>1.96266590845368</v>
      </c>
      <c r="M43" s="7">
        <f t="shared" si="190"/>
        <v>1.96573685072345</v>
      </c>
      <c r="N43" s="7">
        <f t="shared" si="191"/>
        <v>2.25324629546134</v>
      </c>
      <c r="O43" s="7">
        <f t="shared" si="192"/>
        <v>20.499212890719</v>
      </c>
      <c r="P43" s="8">
        <f t="shared" si="193"/>
        <v>3038.724</v>
      </c>
      <c r="Q43" s="8">
        <f t="shared" ref="Q43:Q54" si="213">P43/7142.4*100</f>
        <v>42.5448588709677</v>
      </c>
      <c r="R43" s="8">
        <f t="shared" si="194"/>
        <v>3033.9768</v>
      </c>
      <c r="S43" s="8">
        <f t="shared" ref="S43:S54" si="214">R43/7142.4*100</f>
        <v>42.4783938172043</v>
      </c>
      <c r="T43" s="8">
        <f t="shared" si="195"/>
        <v>2646.8478</v>
      </c>
      <c r="U43" s="8">
        <f t="shared" ref="U43:U54" si="215">T43/7142.4*100</f>
        <v>37.0582409274194</v>
      </c>
      <c r="V43" s="8">
        <f t="shared" si="196"/>
        <v>290.938</v>
      </c>
      <c r="W43" s="8">
        <f t="shared" ref="W43:W54" si="216">V43/7142.4*100</f>
        <v>4.07339269713262</v>
      </c>
      <c r="X43" s="1"/>
      <c r="Y43" s="2">
        <v>2</v>
      </c>
      <c r="Z43" s="2">
        <v>353.34</v>
      </c>
      <c r="AA43" s="8">
        <f t="shared" si="197"/>
        <v>47.1875</v>
      </c>
      <c r="AB43" s="2">
        <v>352.788</v>
      </c>
      <c r="AC43" s="8">
        <f t="shared" ref="AC43:AG43" si="217">AB43/748.8*100</f>
        <v>47.1137820512821</v>
      </c>
      <c r="AD43" s="2">
        <v>307.773</v>
      </c>
      <c r="AE43" s="8">
        <f t="shared" si="217"/>
        <v>41.1021634615385</v>
      </c>
      <c r="AF43" s="2">
        <v>33.83</v>
      </c>
      <c r="AG43" s="8">
        <f t="shared" si="217"/>
        <v>4.5178952991453</v>
      </c>
      <c r="AH43" s="8">
        <f t="shared" si="199"/>
        <v>627.789473684211</v>
      </c>
      <c r="AI43" s="8">
        <f t="shared" si="200"/>
        <v>83.8394062078273</v>
      </c>
      <c r="AJ43" s="7">
        <f t="shared" si="201"/>
        <v>1.77672913817912</v>
      </c>
      <c r="AK43" s="7">
        <f t="shared" si="202"/>
        <v>1.77950914907596</v>
      </c>
      <c r="AL43" s="7">
        <f t="shared" si="203"/>
        <v>2.03978085694395</v>
      </c>
      <c r="AM43" s="7">
        <f t="shared" si="204"/>
        <v>18.5571821958088</v>
      </c>
      <c r="AN43" s="1"/>
      <c r="AO43" s="2">
        <v>2</v>
      </c>
      <c r="AP43" s="8">
        <v>1071.42</v>
      </c>
      <c r="AQ43" s="8">
        <f t="shared" ref="AQ43:AU43" si="218">AP43/1728*100</f>
        <v>62.0034722222222</v>
      </c>
      <c r="AR43" s="8">
        <v>648.968</v>
      </c>
      <c r="AS43" s="8">
        <f t="shared" si="218"/>
        <v>37.5560185185185</v>
      </c>
      <c r="AT43" s="8">
        <v>606.566</v>
      </c>
      <c r="AU43" s="8">
        <f t="shared" si="218"/>
        <v>35.1021990740741</v>
      </c>
      <c r="AV43" s="8">
        <v>137.85</v>
      </c>
      <c r="AW43" s="8">
        <f t="shared" si="206"/>
        <v>15.9548611111111</v>
      </c>
      <c r="AX43" s="8">
        <f t="shared" si="207"/>
        <v>1611.89189189189</v>
      </c>
      <c r="AY43" s="8">
        <f t="shared" ref="AY43:AY54" si="219">AX43/1728*100</f>
        <v>93.2807807807808</v>
      </c>
      <c r="AZ43" s="7">
        <f t="shared" si="208"/>
        <v>1.50444446798818</v>
      </c>
      <c r="BA43" s="7">
        <f t="shared" si="209"/>
        <v>2.48377715371465</v>
      </c>
      <c r="BB43" s="7">
        <f t="shared" si="210"/>
        <v>2.65740561108254</v>
      </c>
      <c r="BC43" s="7">
        <f t="shared" si="211"/>
        <v>11.6930859041849</v>
      </c>
      <c r="BE43" s="1"/>
      <c r="BF43" s="2">
        <v>2</v>
      </c>
      <c r="BG43" s="8">
        <v>1131.6</v>
      </c>
      <c r="BH43" s="8">
        <f t="shared" ref="BH43:BL43" si="220">BG43/2039.76*100</f>
        <v>55.4771149547005</v>
      </c>
      <c r="BI43" s="8">
        <v>1169.351</v>
      </c>
      <c r="BJ43" s="8">
        <f t="shared" si="220"/>
        <v>57.3278719064988</v>
      </c>
      <c r="BK43" s="8">
        <v>347.63</v>
      </c>
      <c r="BL43" s="8">
        <f t="shared" si="220"/>
        <v>17.0426912970153</v>
      </c>
      <c r="BM43" s="8">
        <f t="shared" si="178"/>
        <v>1704</v>
      </c>
      <c r="BN43" s="8">
        <f t="shared" ref="BN43:BN54" si="221">BM43/2039.76*100</f>
        <v>83.5392399105777</v>
      </c>
      <c r="BO43" s="7">
        <f t="shared" si="179"/>
        <v>1.50583244962884</v>
      </c>
      <c r="BP43" s="7">
        <f t="shared" si="180"/>
        <v>1.45721857680029</v>
      </c>
      <c r="BQ43" s="7">
        <f t="shared" si="181"/>
        <v>4.90176336909933</v>
      </c>
    </row>
    <row r="44" ht="20.4" spans="1:69">
      <c r="A44" s="1"/>
      <c r="B44" s="2">
        <v>3</v>
      </c>
      <c r="C44" s="2">
        <v>13440</v>
      </c>
      <c r="D44" s="2">
        <v>22144</v>
      </c>
      <c r="E44" s="2">
        <v>1920</v>
      </c>
      <c r="F44" s="2">
        <v>5420</v>
      </c>
      <c r="G44" s="2">
        <v>75.8</v>
      </c>
      <c r="H44" s="2">
        <v>5954</v>
      </c>
      <c r="I44" s="2">
        <v>83.3</v>
      </c>
      <c r="J44" s="5">
        <v>7.5</v>
      </c>
      <c r="K44" s="7">
        <f t="shared" si="188"/>
        <v>1.09852398523985</v>
      </c>
      <c r="L44" s="7">
        <f t="shared" si="189"/>
        <v>1.9690716194407</v>
      </c>
      <c r="M44" s="7">
        <f t="shared" si="190"/>
        <v>1.95982432548173</v>
      </c>
      <c r="N44" s="7">
        <f t="shared" si="191"/>
        <v>2.17431427116321</v>
      </c>
      <c r="O44" s="7">
        <f t="shared" si="192"/>
        <v>20.1726568005638</v>
      </c>
      <c r="P44" s="8">
        <f t="shared" si="193"/>
        <v>3023.76</v>
      </c>
      <c r="Q44" s="8">
        <f t="shared" si="213"/>
        <v>42.3353494623656</v>
      </c>
      <c r="R44" s="8">
        <f t="shared" si="194"/>
        <v>3038.0274</v>
      </c>
      <c r="S44" s="8">
        <f t="shared" si="214"/>
        <v>42.5351058467742</v>
      </c>
      <c r="T44" s="8">
        <f t="shared" si="195"/>
        <v>2738.3346</v>
      </c>
      <c r="U44" s="8">
        <f t="shared" si="215"/>
        <v>38.3391381048387</v>
      </c>
      <c r="V44" s="8">
        <f t="shared" si="196"/>
        <v>295.152</v>
      </c>
      <c r="W44" s="8">
        <f t="shared" si="216"/>
        <v>4.13239247311828</v>
      </c>
      <c r="X44" s="1"/>
      <c r="Y44" s="2">
        <v>3</v>
      </c>
      <c r="Z44" s="2">
        <v>351.6</v>
      </c>
      <c r="AA44" s="8">
        <f t="shared" si="197"/>
        <v>46.9551282051282</v>
      </c>
      <c r="AB44" s="2">
        <v>353.259</v>
      </c>
      <c r="AC44" s="8">
        <f t="shared" ref="AC44:AG44" si="222">AB44/748.8*100</f>
        <v>47.1766826923077</v>
      </c>
      <c r="AD44" s="2">
        <v>318.411</v>
      </c>
      <c r="AE44" s="8">
        <f t="shared" si="222"/>
        <v>42.5228365384615</v>
      </c>
      <c r="AF44" s="2">
        <v>34.32</v>
      </c>
      <c r="AG44" s="8">
        <f t="shared" si="222"/>
        <v>4.58333333333333</v>
      </c>
      <c r="AH44" s="8">
        <f t="shared" si="199"/>
        <v>626.736842105263</v>
      </c>
      <c r="AI44" s="8">
        <f t="shared" si="200"/>
        <v>83.6988304093567</v>
      </c>
      <c r="AJ44" s="7">
        <f t="shared" si="201"/>
        <v>1.78252799233579</v>
      </c>
      <c r="AK44" s="7">
        <f t="shared" si="202"/>
        <v>1.77415675780451</v>
      </c>
      <c r="AL44" s="7">
        <f t="shared" si="203"/>
        <v>1.9683266033688</v>
      </c>
      <c r="AM44" s="7">
        <f t="shared" si="204"/>
        <v>18.2615629984051</v>
      </c>
      <c r="AN44" s="1"/>
      <c r="AO44" s="2">
        <v>3</v>
      </c>
      <c r="AP44" s="8">
        <v>1070.42</v>
      </c>
      <c r="AQ44" s="8">
        <f t="shared" ref="AQ44:AU44" si="223">AP44/1728*100</f>
        <v>61.9456018518519</v>
      </c>
      <c r="AR44" s="8">
        <v>645.538</v>
      </c>
      <c r="AS44" s="8">
        <f t="shared" si="223"/>
        <v>37.3575231481481</v>
      </c>
      <c r="AT44" s="8">
        <v>609.919</v>
      </c>
      <c r="AU44" s="8">
        <f t="shared" si="223"/>
        <v>35.2962384259259</v>
      </c>
      <c r="AV44" s="8">
        <v>135.11</v>
      </c>
      <c r="AW44" s="8">
        <f t="shared" si="206"/>
        <v>15.6377314814815</v>
      </c>
      <c r="AX44" s="8">
        <f t="shared" si="207"/>
        <v>1609.18918918919</v>
      </c>
      <c r="AY44" s="8">
        <f t="shared" si="219"/>
        <v>93.1243743743744</v>
      </c>
      <c r="AZ44" s="7">
        <f t="shared" si="208"/>
        <v>1.50332503988078</v>
      </c>
      <c r="BA44" s="7">
        <f t="shared" si="209"/>
        <v>2.49278770450258</v>
      </c>
      <c r="BB44" s="7">
        <f t="shared" si="210"/>
        <v>2.63836540456879</v>
      </c>
      <c r="BC44" s="7">
        <f t="shared" si="211"/>
        <v>11.9102153000458</v>
      </c>
      <c r="BE44" s="1"/>
      <c r="BF44" s="2">
        <v>3</v>
      </c>
      <c r="BG44" s="8">
        <v>1131.33</v>
      </c>
      <c r="BH44" s="8">
        <f t="shared" ref="BH44:BL44" si="224">BG44/2039.76*100</f>
        <v>55.4638781033063</v>
      </c>
      <c r="BI44" s="8">
        <v>1180.442</v>
      </c>
      <c r="BJ44" s="8">
        <f t="shared" si="224"/>
        <v>57.8716123465506</v>
      </c>
      <c r="BK44" s="8">
        <v>353.28</v>
      </c>
      <c r="BL44" s="8">
        <f t="shared" si="224"/>
        <v>17.3196846687846</v>
      </c>
      <c r="BM44" s="8">
        <f t="shared" si="178"/>
        <v>1701.14285714286</v>
      </c>
      <c r="BN44" s="8">
        <f t="shared" si="221"/>
        <v>83.3991674090509</v>
      </c>
      <c r="BO44" s="7">
        <f t="shared" si="179"/>
        <v>1.50366635477081</v>
      </c>
      <c r="BP44" s="7">
        <f t="shared" si="180"/>
        <v>1.44110668473577</v>
      </c>
      <c r="BQ44" s="7">
        <f t="shared" si="181"/>
        <v>4.81528209109731</v>
      </c>
    </row>
    <row r="45" ht="20.4" spans="1:69">
      <c r="A45" s="1"/>
      <c r="B45" s="2">
        <v>4</v>
      </c>
      <c r="C45" s="2">
        <v>13440</v>
      </c>
      <c r="D45" s="2">
        <v>17152</v>
      </c>
      <c r="E45" s="2">
        <v>1920</v>
      </c>
      <c r="F45" s="2">
        <v>5434</v>
      </c>
      <c r="G45" s="2">
        <v>76</v>
      </c>
      <c r="H45" s="2">
        <v>5885</v>
      </c>
      <c r="I45" s="2">
        <v>82.3</v>
      </c>
      <c r="J45" s="5">
        <v>6.3</v>
      </c>
      <c r="K45" s="7">
        <f t="shared" si="188"/>
        <v>1.082995951417</v>
      </c>
      <c r="L45" s="7">
        <f t="shared" si="189"/>
        <v>1.9501904459557</v>
      </c>
      <c r="M45" s="7">
        <f t="shared" si="190"/>
        <v>1.94114552324344</v>
      </c>
      <c r="N45" s="7">
        <f t="shared" si="191"/>
        <v>2.22078019310108</v>
      </c>
      <c r="O45" s="7">
        <f t="shared" si="192"/>
        <v>23.7275424958875</v>
      </c>
      <c r="P45" s="8">
        <f t="shared" si="193"/>
        <v>3017.654</v>
      </c>
      <c r="Q45" s="8">
        <f t="shared" si="213"/>
        <v>42.2498599910394</v>
      </c>
      <c r="R45" s="8">
        <f t="shared" si="194"/>
        <v>3031.715</v>
      </c>
      <c r="S45" s="8">
        <f t="shared" si="214"/>
        <v>42.4467265905018</v>
      </c>
      <c r="T45" s="8">
        <f t="shared" si="195"/>
        <v>2649.9696</v>
      </c>
      <c r="U45" s="8">
        <f t="shared" si="215"/>
        <v>37.1019489247312</v>
      </c>
      <c r="V45" s="8">
        <f t="shared" si="196"/>
        <v>248.024</v>
      </c>
      <c r="W45" s="8">
        <f t="shared" si="216"/>
        <v>3.4725582437276</v>
      </c>
      <c r="X45" s="1"/>
      <c r="Y45" s="2">
        <v>4</v>
      </c>
      <c r="Z45" s="2">
        <v>350.89</v>
      </c>
      <c r="AA45" s="8">
        <f t="shared" si="197"/>
        <v>46.8603098290598</v>
      </c>
      <c r="AB45" s="2">
        <v>352.525</v>
      </c>
      <c r="AC45" s="8">
        <f t="shared" ref="AC45:AG45" si="225">AB45/748.8*100</f>
        <v>47.0786591880342</v>
      </c>
      <c r="AD45" s="2">
        <v>308.136</v>
      </c>
      <c r="AE45" s="8">
        <f t="shared" si="225"/>
        <v>41.150641025641</v>
      </c>
      <c r="AF45" s="2">
        <v>28.84</v>
      </c>
      <c r="AG45" s="8">
        <f t="shared" si="225"/>
        <v>3.85149572649573</v>
      </c>
      <c r="AH45" s="8">
        <f t="shared" si="199"/>
        <v>619.473684210526</v>
      </c>
      <c r="AI45" s="8">
        <f t="shared" si="200"/>
        <v>82.72885739991</v>
      </c>
      <c r="AJ45" s="7">
        <f t="shared" si="201"/>
        <v>1.765435561602</v>
      </c>
      <c r="AK45" s="7">
        <f t="shared" si="202"/>
        <v>1.75724752630459</v>
      </c>
      <c r="AL45" s="7">
        <f t="shared" si="203"/>
        <v>2.01039049059677</v>
      </c>
      <c r="AM45" s="7">
        <f t="shared" si="204"/>
        <v>21.4796700489087</v>
      </c>
      <c r="AN45" s="1"/>
      <c r="AO45" s="2">
        <v>4</v>
      </c>
      <c r="AP45" s="8">
        <v>1057.8</v>
      </c>
      <c r="AQ45" s="8">
        <f t="shared" ref="AQ45:AU45" si="226">AP45/1728*100</f>
        <v>61.2152777777778</v>
      </c>
      <c r="AR45" s="8">
        <v>647.195</v>
      </c>
      <c r="AS45" s="8">
        <f t="shared" si="226"/>
        <v>37.4534143518519</v>
      </c>
      <c r="AT45" s="8">
        <v>614.079</v>
      </c>
      <c r="AU45" s="8">
        <f t="shared" si="226"/>
        <v>35.5369791666667</v>
      </c>
      <c r="AV45" s="8">
        <v>148.46</v>
      </c>
      <c r="AW45" s="8">
        <f t="shared" si="206"/>
        <v>17.1828703703704</v>
      </c>
      <c r="AX45" s="8">
        <f t="shared" si="207"/>
        <v>1590.54054054054</v>
      </c>
      <c r="AY45" s="8">
        <f t="shared" si="219"/>
        <v>92.0451701701702</v>
      </c>
      <c r="AZ45" s="7">
        <f t="shared" si="208"/>
        <v>1.50363068684112</v>
      </c>
      <c r="BA45" s="7">
        <f t="shared" si="209"/>
        <v>2.45759089693298</v>
      </c>
      <c r="BB45" s="7">
        <f t="shared" si="210"/>
        <v>2.59012364946618</v>
      </c>
      <c r="BC45" s="7">
        <f t="shared" si="211"/>
        <v>10.7135965279573</v>
      </c>
      <c r="BE45" s="1"/>
      <c r="BF45" s="2">
        <v>4</v>
      </c>
      <c r="BG45" s="8">
        <v>1125.03</v>
      </c>
      <c r="BH45" s="8">
        <f t="shared" ref="BH45:BL45" si="227">BG45/2039.76*100</f>
        <v>55.1550182374397</v>
      </c>
      <c r="BI45" s="8">
        <v>1170.165</v>
      </c>
      <c r="BJ45" s="8">
        <f t="shared" si="227"/>
        <v>57.3677785621838</v>
      </c>
      <c r="BK45" s="8">
        <v>353.76</v>
      </c>
      <c r="BL45" s="8">
        <f t="shared" si="227"/>
        <v>17.3432168490411</v>
      </c>
      <c r="BM45" s="8">
        <f t="shared" si="178"/>
        <v>1681.42857142857</v>
      </c>
      <c r="BN45" s="8">
        <f t="shared" si="221"/>
        <v>82.4326671485161</v>
      </c>
      <c r="BO45" s="7">
        <f t="shared" si="179"/>
        <v>1.49456331958132</v>
      </c>
      <c r="BP45" s="7">
        <f t="shared" si="180"/>
        <v>1.43691579514733</v>
      </c>
      <c r="BQ45" s="7">
        <f t="shared" si="181"/>
        <v>4.75302061122957</v>
      </c>
    </row>
    <row r="46" ht="20.4" spans="1:69">
      <c r="A46" s="1"/>
      <c r="B46" s="2">
        <v>5</v>
      </c>
      <c r="C46" s="2">
        <v>13440</v>
      </c>
      <c r="D46" s="2">
        <v>14080</v>
      </c>
      <c r="E46" s="2">
        <v>1920</v>
      </c>
      <c r="F46" s="2">
        <v>5188</v>
      </c>
      <c r="G46" s="2">
        <v>72.6</v>
      </c>
      <c r="H46" s="2">
        <v>5824</v>
      </c>
      <c r="I46" s="2">
        <v>81.5</v>
      </c>
      <c r="J46" s="5">
        <v>8.9</v>
      </c>
      <c r="K46" s="7">
        <f t="shared" si="188"/>
        <v>1.12259059367772</v>
      </c>
      <c r="L46" s="7">
        <f t="shared" si="189"/>
        <v>1.93041618632759</v>
      </c>
      <c r="M46" s="7">
        <f t="shared" si="190"/>
        <v>1.9226774657051</v>
      </c>
      <c r="N46" s="7">
        <f t="shared" si="191"/>
        <v>2.13348697565546</v>
      </c>
      <c r="O46" s="7">
        <f t="shared" si="192"/>
        <v>22.3944875107666</v>
      </c>
      <c r="P46" s="8">
        <f t="shared" si="193"/>
        <v>3016.966</v>
      </c>
      <c r="Q46" s="8">
        <f t="shared" si="213"/>
        <v>42.240227374552</v>
      </c>
      <c r="R46" s="8">
        <f t="shared" si="194"/>
        <v>3029.1092</v>
      </c>
      <c r="S46" s="8">
        <f t="shared" si="214"/>
        <v>42.4102430555556</v>
      </c>
      <c r="T46" s="8">
        <f t="shared" si="195"/>
        <v>2729.8034</v>
      </c>
      <c r="U46" s="8">
        <f t="shared" si="215"/>
        <v>38.2196936603943</v>
      </c>
      <c r="V46" s="8">
        <f t="shared" si="196"/>
        <v>260.064</v>
      </c>
      <c r="W46" s="8">
        <f t="shared" si="216"/>
        <v>3.64112903225806</v>
      </c>
      <c r="X46" s="1"/>
      <c r="Y46" s="2">
        <v>5</v>
      </c>
      <c r="Z46" s="2">
        <v>350.81</v>
      </c>
      <c r="AA46" s="8">
        <f t="shared" si="197"/>
        <v>46.8496260683761</v>
      </c>
      <c r="AB46" s="2">
        <v>352.222</v>
      </c>
      <c r="AC46" s="8">
        <f t="shared" ref="AC46:AG46" si="228">AB46/748.8*100</f>
        <v>47.0381944444444</v>
      </c>
      <c r="AD46" s="2">
        <v>317.419</v>
      </c>
      <c r="AE46" s="8">
        <f t="shared" si="228"/>
        <v>42.3903579059829</v>
      </c>
      <c r="AF46" s="2">
        <v>30.24</v>
      </c>
      <c r="AG46" s="8">
        <f t="shared" si="228"/>
        <v>4.03846153846154</v>
      </c>
      <c r="AH46" s="8">
        <f t="shared" si="199"/>
        <v>613.052631578947</v>
      </c>
      <c r="AI46" s="8">
        <f t="shared" si="200"/>
        <v>81.8713450292398</v>
      </c>
      <c r="AJ46" s="7">
        <f t="shared" si="201"/>
        <v>1.74753465288603</v>
      </c>
      <c r="AK46" s="7">
        <f t="shared" si="202"/>
        <v>1.74052907421725</v>
      </c>
      <c r="AL46" s="7">
        <f t="shared" si="203"/>
        <v>1.93136715690916</v>
      </c>
      <c r="AM46" s="7">
        <f t="shared" si="204"/>
        <v>20.2729044834308</v>
      </c>
      <c r="AN46" s="1"/>
      <c r="AO46" s="2">
        <v>5</v>
      </c>
      <c r="AP46" s="8">
        <v>1016.86</v>
      </c>
      <c r="AQ46" s="8">
        <f t="shared" ref="AQ46:AU46" si="229">AP46/1728*100</f>
        <v>58.8460648148148</v>
      </c>
      <c r="AR46" s="8">
        <v>652.24</v>
      </c>
      <c r="AS46" s="8">
        <f t="shared" si="229"/>
        <v>37.7453703703704</v>
      </c>
      <c r="AT46" s="8">
        <v>615.987</v>
      </c>
      <c r="AU46" s="8">
        <f t="shared" si="229"/>
        <v>35.6473958333333</v>
      </c>
      <c r="AV46" s="8">
        <v>144.84</v>
      </c>
      <c r="AW46" s="8">
        <f t="shared" si="206"/>
        <v>16.7638888888889</v>
      </c>
      <c r="AX46" s="8">
        <f t="shared" si="207"/>
        <v>1574.05405405405</v>
      </c>
      <c r="AY46" s="8">
        <f t="shared" si="219"/>
        <v>91.0910910910911</v>
      </c>
      <c r="AZ46" s="7">
        <f t="shared" si="208"/>
        <v>1.54795552392075</v>
      </c>
      <c r="BA46" s="7">
        <f t="shared" si="209"/>
        <v>2.41330500130942</v>
      </c>
      <c r="BB46" s="7">
        <f t="shared" si="210"/>
        <v>2.5553364828382</v>
      </c>
      <c r="BC46" s="7">
        <f t="shared" si="211"/>
        <v>10.8675369653</v>
      </c>
      <c r="BE46" s="1"/>
      <c r="BF46" s="2">
        <v>5</v>
      </c>
      <c r="BG46" s="8">
        <v>1125.41</v>
      </c>
      <c r="BH46" s="8">
        <f t="shared" ref="BH46:BL46" si="230">BG46/2039.76*100</f>
        <v>55.1736478801428</v>
      </c>
      <c r="BI46" s="8">
        <v>1159.36</v>
      </c>
      <c r="BJ46" s="8">
        <f t="shared" si="230"/>
        <v>56.8380593795348</v>
      </c>
      <c r="BK46" s="8">
        <v>351.43</v>
      </c>
      <c r="BL46" s="8">
        <f t="shared" si="230"/>
        <v>17.228987724046</v>
      </c>
      <c r="BM46" s="8">
        <f t="shared" si="178"/>
        <v>1664</v>
      </c>
      <c r="BN46" s="8">
        <f t="shared" si="221"/>
        <v>81.5782248892027</v>
      </c>
      <c r="BO46" s="7">
        <f t="shared" si="179"/>
        <v>1.47857225366755</v>
      </c>
      <c r="BP46" s="7">
        <f t="shared" si="180"/>
        <v>1.43527463428098</v>
      </c>
      <c r="BQ46" s="7">
        <f t="shared" si="181"/>
        <v>4.7349401018695</v>
      </c>
    </row>
    <row r="47" ht="20.4" spans="1:69">
      <c r="A47" s="1"/>
      <c r="B47" s="2">
        <v>6</v>
      </c>
      <c r="C47" s="2">
        <v>13056</v>
      </c>
      <c r="D47" s="2">
        <v>14080</v>
      </c>
      <c r="E47" s="2">
        <v>1920</v>
      </c>
      <c r="F47" s="2">
        <v>5045</v>
      </c>
      <c r="G47" s="2">
        <v>70.6</v>
      </c>
      <c r="H47" s="2">
        <v>5597</v>
      </c>
      <c r="I47" s="2">
        <v>78.3</v>
      </c>
      <c r="J47" s="5">
        <v>7.7</v>
      </c>
      <c r="K47" s="7">
        <f t="shared" si="188"/>
        <v>1.10941526263627</v>
      </c>
      <c r="L47" s="7">
        <f t="shared" si="189"/>
        <v>1.85586276231428</v>
      </c>
      <c r="M47" s="7">
        <f t="shared" si="190"/>
        <v>1.84790058090176</v>
      </c>
      <c r="N47" s="7">
        <f t="shared" si="191"/>
        <v>2.09069984094694</v>
      </c>
      <c r="O47" s="7">
        <f t="shared" si="192"/>
        <v>20.2998737831682</v>
      </c>
      <c r="P47" s="8">
        <f t="shared" si="193"/>
        <v>3015.848</v>
      </c>
      <c r="Q47" s="8">
        <f t="shared" si="213"/>
        <v>42.2245743727599</v>
      </c>
      <c r="R47" s="8">
        <f t="shared" si="194"/>
        <v>3028.8426</v>
      </c>
      <c r="S47" s="8">
        <f t="shared" si="214"/>
        <v>42.4065104166667</v>
      </c>
      <c r="T47" s="8">
        <f t="shared" si="195"/>
        <v>2677.094</v>
      </c>
      <c r="U47" s="8">
        <f t="shared" si="215"/>
        <v>37.4817148297491</v>
      </c>
      <c r="V47" s="8">
        <f t="shared" si="196"/>
        <v>275.716</v>
      </c>
      <c r="W47" s="8">
        <f t="shared" si="216"/>
        <v>3.86027105734767</v>
      </c>
      <c r="X47" s="1"/>
      <c r="Y47" s="2">
        <v>6</v>
      </c>
      <c r="Z47" s="2">
        <v>350.68</v>
      </c>
      <c r="AA47" s="8">
        <f t="shared" si="197"/>
        <v>46.832264957265</v>
      </c>
      <c r="AB47" s="2">
        <v>352.191</v>
      </c>
      <c r="AC47" s="8">
        <f t="shared" ref="AC47:AG47" si="231">AB47/748.8*100</f>
        <v>47.0340544871795</v>
      </c>
      <c r="AD47" s="2">
        <v>311.29</v>
      </c>
      <c r="AE47" s="8">
        <f t="shared" si="231"/>
        <v>41.5718482905983</v>
      </c>
      <c r="AF47" s="2">
        <v>32.06</v>
      </c>
      <c r="AG47" s="8">
        <f t="shared" si="231"/>
        <v>4.28151709401709</v>
      </c>
      <c r="AH47" s="8">
        <f t="shared" si="199"/>
        <v>589.157894736842</v>
      </c>
      <c r="AI47" s="8">
        <f t="shared" si="200"/>
        <v>78.6802744039586</v>
      </c>
      <c r="AJ47" s="7">
        <f t="shared" si="201"/>
        <v>1.68004418483188</v>
      </c>
      <c r="AK47" s="7">
        <f t="shared" si="202"/>
        <v>1.67283631534265</v>
      </c>
      <c r="AL47" s="7">
        <f t="shared" si="203"/>
        <v>1.89263354022565</v>
      </c>
      <c r="AM47" s="7">
        <f t="shared" si="204"/>
        <v>18.3767278458154</v>
      </c>
      <c r="AN47" s="1"/>
      <c r="AO47" s="2">
        <v>6</v>
      </c>
      <c r="AP47" s="8">
        <v>1062.7</v>
      </c>
      <c r="AQ47" s="8">
        <f t="shared" ref="AQ47:AU47" si="232">AP47/1728*100</f>
        <v>61.4988425925926</v>
      </c>
      <c r="AR47" s="8">
        <v>649.694</v>
      </c>
      <c r="AS47" s="8">
        <f t="shared" si="232"/>
        <v>37.5980324074074</v>
      </c>
      <c r="AT47" s="8">
        <v>612.133</v>
      </c>
      <c r="AU47" s="8">
        <f t="shared" si="232"/>
        <v>35.4243634259259</v>
      </c>
      <c r="AV47" s="8">
        <v>111.38</v>
      </c>
      <c r="AW47" s="8">
        <f t="shared" si="206"/>
        <v>12.8912037037037</v>
      </c>
      <c r="AX47" s="8">
        <f t="shared" si="207"/>
        <v>1512.7027027027</v>
      </c>
      <c r="AY47" s="8">
        <f t="shared" si="219"/>
        <v>87.5406656656657</v>
      </c>
      <c r="AZ47" s="7">
        <f t="shared" si="208"/>
        <v>1.42345224682667</v>
      </c>
      <c r="BA47" s="7">
        <f t="shared" si="209"/>
        <v>2.32833103384471</v>
      </c>
      <c r="BB47" s="7">
        <f t="shared" si="210"/>
        <v>2.47119940062487</v>
      </c>
      <c r="BC47" s="7">
        <f t="shared" si="211"/>
        <v>13.5814571979054</v>
      </c>
      <c r="BE47" s="1"/>
      <c r="BF47" s="2">
        <v>6</v>
      </c>
      <c r="BG47" s="8">
        <v>1114.79</v>
      </c>
      <c r="BH47" s="8">
        <f t="shared" ref="BH47:BL47" si="233">BG47/2039.76*100</f>
        <v>54.6529983919677</v>
      </c>
      <c r="BI47" s="8">
        <v>1159.423</v>
      </c>
      <c r="BJ47" s="8">
        <f t="shared" si="233"/>
        <v>56.8411479781935</v>
      </c>
      <c r="BK47" s="8">
        <v>336.5</v>
      </c>
      <c r="BL47" s="8">
        <f t="shared" si="233"/>
        <v>16.4970388673177</v>
      </c>
      <c r="BM47" s="8">
        <f t="shared" si="178"/>
        <v>1599.14285714286</v>
      </c>
      <c r="BN47" s="8">
        <f t="shared" si="221"/>
        <v>78.3985791045445</v>
      </c>
      <c r="BO47" s="7">
        <f t="shared" si="179"/>
        <v>1.43447901142175</v>
      </c>
      <c r="BP47" s="7">
        <f t="shared" si="180"/>
        <v>1.37925749027133</v>
      </c>
      <c r="BQ47" s="7">
        <f t="shared" si="181"/>
        <v>4.75228189344088</v>
      </c>
    </row>
    <row r="48" ht="20.4" spans="1:69">
      <c r="A48" s="1"/>
      <c r="B48" s="2">
        <v>7</v>
      </c>
      <c r="C48" s="2">
        <v>13056</v>
      </c>
      <c r="D48" s="2">
        <v>17152</v>
      </c>
      <c r="E48" s="2">
        <v>1920</v>
      </c>
      <c r="F48" s="2">
        <v>5232</v>
      </c>
      <c r="G48" s="2">
        <v>73.2</v>
      </c>
      <c r="H48" s="2">
        <v>5706</v>
      </c>
      <c r="I48" s="2">
        <v>79.8</v>
      </c>
      <c r="J48" s="5">
        <v>6.6</v>
      </c>
      <c r="K48" s="7">
        <f t="shared" si="188"/>
        <v>1.09059633027523</v>
      </c>
      <c r="L48" s="7">
        <f t="shared" si="189"/>
        <v>1.88614257069399</v>
      </c>
      <c r="M48" s="7">
        <f t="shared" si="190"/>
        <v>1.87934153089857</v>
      </c>
      <c r="N48" s="7">
        <f t="shared" si="191"/>
        <v>2.12308805799803</v>
      </c>
      <c r="O48" s="7">
        <f t="shared" si="192"/>
        <v>24.5645454310634</v>
      </c>
      <c r="P48" s="8">
        <f t="shared" si="193"/>
        <v>3025.222</v>
      </c>
      <c r="Q48" s="8">
        <f t="shared" si="213"/>
        <v>42.3558187724014</v>
      </c>
      <c r="R48" s="8">
        <f t="shared" si="194"/>
        <v>3036.1698</v>
      </c>
      <c r="S48" s="8">
        <f t="shared" si="214"/>
        <v>42.5090977822581</v>
      </c>
      <c r="T48" s="8">
        <f t="shared" si="195"/>
        <v>2687.5946</v>
      </c>
      <c r="U48" s="8">
        <f t="shared" si="215"/>
        <v>37.6287326388889</v>
      </c>
      <c r="V48" s="8">
        <f t="shared" si="196"/>
        <v>232.286</v>
      </c>
      <c r="W48" s="8">
        <f t="shared" si="216"/>
        <v>3.25221214157706</v>
      </c>
      <c r="X48" s="1"/>
      <c r="Y48" s="2">
        <v>7</v>
      </c>
      <c r="Z48" s="2">
        <v>351.77</v>
      </c>
      <c r="AA48" s="8">
        <f t="shared" si="197"/>
        <v>46.9778311965812</v>
      </c>
      <c r="AB48" s="2">
        <v>353.043</v>
      </c>
      <c r="AC48" s="8">
        <f t="shared" ref="AC48:AG48" si="234">AB48/748.8*100</f>
        <v>47.1478365384615</v>
      </c>
      <c r="AD48" s="2">
        <v>312.511</v>
      </c>
      <c r="AE48" s="8">
        <f t="shared" si="234"/>
        <v>41.7349091880342</v>
      </c>
      <c r="AF48" s="2">
        <v>27.01</v>
      </c>
      <c r="AG48" s="8">
        <f t="shared" si="234"/>
        <v>3.6071047008547</v>
      </c>
      <c r="AH48" s="8">
        <f t="shared" si="199"/>
        <v>600.631578947368</v>
      </c>
      <c r="AI48" s="8">
        <f t="shared" si="200"/>
        <v>80.2125506072875</v>
      </c>
      <c r="AJ48" s="7">
        <f t="shared" si="201"/>
        <v>1.70745537978613</v>
      </c>
      <c r="AK48" s="7">
        <f t="shared" si="202"/>
        <v>1.70129864902397</v>
      </c>
      <c r="AL48" s="7">
        <f t="shared" si="203"/>
        <v>1.9219533998719</v>
      </c>
      <c r="AM48" s="7">
        <f t="shared" si="204"/>
        <v>22.2373779691732</v>
      </c>
      <c r="AN48" s="1"/>
      <c r="AO48" s="2">
        <v>7</v>
      </c>
      <c r="AP48" s="8">
        <v>1088.19</v>
      </c>
      <c r="AQ48" s="8">
        <f t="shared" ref="AQ48:AU48" si="235">AP48/1728*100</f>
        <v>62.9739583333333</v>
      </c>
      <c r="AR48" s="8">
        <v>646.701</v>
      </c>
      <c r="AS48" s="8">
        <f t="shared" si="235"/>
        <v>37.4248263888889</v>
      </c>
      <c r="AT48" s="8">
        <v>618.832</v>
      </c>
      <c r="AU48" s="8">
        <f t="shared" si="235"/>
        <v>35.812037037037</v>
      </c>
      <c r="AV48" s="8">
        <v>114.33</v>
      </c>
      <c r="AW48" s="8">
        <f t="shared" si="206"/>
        <v>13.2326388888889</v>
      </c>
      <c r="AX48" s="8">
        <f t="shared" si="207"/>
        <v>1542.16216216216</v>
      </c>
      <c r="AY48" s="8">
        <f t="shared" si="219"/>
        <v>89.2454954954955</v>
      </c>
      <c r="AZ48" s="7">
        <f t="shared" si="208"/>
        <v>1.41718097222191</v>
      </c>
      <c r="BA48" s="7">
        <f t="shared" si="209"/>
        <v>2.38466024045449</v>
      </c>
      <c r="BB48" s="7">
        <f t="shared" si="210"/>
        <v>2.49205303242586</v>
      </c>
      <c r="BC48" s="7">
        <f t="shared" si="211"/>
        <v>13.4886920507493</v>
      </c>
      <c r="BE48" s="1"/>
      <c r="BF48" s="2">
        <v>7</v>
      </c>
      <c r="BG48" s="8">
        <v>1120.6</v>
      </c>
      <c r="BH48" s="8">
        <f t="shared" ref="BH48:BL48" si="236">BG48/2039.76*100</f>
        <v>54.9378358238224</v>
      </c>
      <c r="BI48" s="8">
        <v>1167.598</v>
      </c>
      <c r="BJ48" s="8">
        <f t="shared" si="236"/>
        <v>57.241930423187</v>
      </c>
      <c r="BK48" s="8">
        <v>337.41</v>
      </c>
      <c r="BL48" s="8">
        <f t="shared" si="236"/>
        <v>16.541651959054</v>
      </c>
      <c r="BM48" s="8">
        <f t="shared" si="178"/>
        <v>1630.28571428571</v>
      </c>
      <c r="BN48" s="8">
        <f t="shared" si="221"/>
        <v>79.9253693711865</v>
      </c>
      <c r="BO48" s="7">
        <f t="shared" si="179"/>
        <v>1.4548328701461</v>
      </c>
      <c r="BP48" s="7">
        <f t="shared" si="180"/>
        <v>1.39627313020895</v>
      </c>
      <c r="BQ48" s="7">
        <f t="shared" si="181"/>
        <v>4.83176466105247</v>
      </c>
    </row>
    <row r="49" ht="20.4" spans="1:69">
      <c r="A49" s="1"/>
      <c r="B49" s="2">
        <v>8</v>
      </c>
      <c r="C49" s="2">
        <v>13056</v>
      </c>
      <c r="D49" s="2">
        <v>28288</v>
      </c>
      <c r="E49" s="2">
        <v>1920</v>
      </c>
      <c r="F49" s="2">
        <v>5380</v>
      </c>
      <c r="G49" s="2">
        <v>75.3</v>
      </c>
      <c r="H49" s="2">
        <v>5832</v>
      </c>
      <c r="I49" s="2">
        <v>81.6</v>
      </c>
      <c r="J49" s="5">
        <v>6.3</v>
      </c>
      <c r="K49" s="7">
        <f t="shared" si="188"/>
        <v>1.08401486988848</v>
      </c>
      <c r="L49" s="7">
        <f t="shared" si="189"/>
        <v>1.93323318000947</v>
      </c>
      <c r="M49" s="7">
        <f t="shared" si="190"/>
        <v>1.92907015444668</v>
      </c>
      <c r="N49" s="7">
        <f t="shared" si="191"/>
        <v>2.17174220794387</v>
      </c>
      <c r="O49" s="7">
        <f t="shared" si="192"/>
        <v>24.1933476590696</v>
      </c>
      <c r="P49" s="8">
        <f t="shared" si="193"/>
        <v>3016.708</v>
      </c>
      <c r="Q49" s="8">
        <f t="shared" si="213"/>
        <v>42.2366151433692</v>
      </c>
      <c r="R49" s="8">
        <f t="shared" si="194"/>
        <v>3023.2182</v>
      </c>
      <c r="S49" s="8">
        <f t="shared" si="214"/>
        <v>42.3277637768817</v>
      </c>
      <c r="T49" s="8">
        <f t="shared" si="195"/>
        <v>2685.4016</v>
      </c>
      <c r="U49" s="8">
        <f t="shared" si="215"/>
        <v>37.5980286738351</v>
      </c>
      <c r="V49" s="8">
        <f t="shared" si="196"/>
        <v>241.058</v>
      </c>
      <c r="W49" s="8">
        <f t="shared" si="216"/>
        <v>3.37502800179211</v>
      </c>
      <c r="X49" s="1"/>
      <c r="Y49" s="2">
        <v>8</v>
      </c>
      <c r="Z49" s="2">
        <v>350.78</v>
      </c>
      <c r="AA49" s="8">
        <f t="shared" si="197"/>
        <v>46.8456196581197</v>
      </c>
      <c r="AB49" s="2">
        <v>351.537</v>
      </c>
      <c r="AC49" s="8">
        <f t="shared" ref="AC49:AG49" si="237">AB49/748.8*100</f>
        <v>46.9467147435897</v>
      </c>
      <c r="AD49" s="2">
        <v>312.256</v>
      </c>
      <c r="AE49" s="8">
        <f t="shared" si="237"/>
        <v>41.7008547008547</v>
      </c>
      <c r="AF49" s="2">
        <v>28.03</v>
      </c>
      <c r="AG49" s="8">
        <f t="shared" si="237"/>
        <v>3.74332264957265</v>
      </c>
      <c r="AH49" s="8">
        <f t="shared" si="199"/>
        <v>613.894736842105</v>
      </c>
      <c r="AI49" s="8">
        <f t="shared" si="200"/>
        <v>81.9838056680162</v>
      </c>
      <c r="AJ49" s="7">
        <f t="shared" si="201"/>
        <v>1.75008477348225</v>
      </c>
      <c r="AK49" s="7">
        <f t="shared" si="202"/>
        <v>1.74631613981489</v>
      </c>
      <c r="AL49" s="7">
        <f t="shared" si="203"/>
        <v>1.96599820929656</v>
      </c>
      <c r="AM49" s="7">
        <f t="shared" si="204"/>
        <v>21.9013463018946</v>
      </c>
      <c r="AN49" s="1"/>
      <c r="AO49" s="2">
        <v>8</v>
      </c>
      <c r="AP49" s="8">
        <v>1083.06</v>
      </c>
      <c r="AQ49" s="8">
        <f t="shared" ref="AQ49:AU49" si="238">AP49/1728*100</f>
        <v>62.6770833333333</v>
      </c>
      <c r="AR49" s="8">
        <v>647.5</v>
      </c>
      <c r="AS49" s="8">
        <f t="shared" si="238"/>
        <v>37.4710648148148</v>
      </c>
      <c r="AT49" s="8">
        <v>621.187</v>
      </c>
      <c r="AU49" s="8">
        <f t="shared" si="238"/>
        <v>35.9483217592593</v>
      </c>
      <c r="AV49" s="8">
        <v>110.29</v>
      </c>
      <c r="AW49" s="8">
        <f t="shared" si="206"/>
        <v>12.7650462962963</v>
      </c>
      <c r="AX49" s="8">
        <f t="shared" si="207"/>
        <v>1576.21621621622</v>
      </c>
      <c r="AY49" s="8">
        <f t="shared" si="219"/>
        <v>91.2162162162162</v>
      </c>
      <c r="AZ49" s="7">
        <f t="shared" si="208"/>
        <v>1.45533600743838</v>
      </c>
      <c r="BA49" s="7">
        <f t="shared" si="209"/>
        <v>2.43431075863508</v>
      </c>
      <c r="BB49" s="7">
        <f t="shared" si="210"/>
        <v>2.53742627617161</v>
      </c>
      <c r="BC49" s="7">
        <f t="shared" si="211"/>
        <v>14.291560578622</v>
      </c>
      <c r="BE49" s="1"/>
      <c r="BF49" s="2">
        <v>8</v>
      </c>
      <c r="BG49" s="8">
        <v>1121.2</v>
      </c>
      <c r="BH49" s="8">
        <f t="shared" ref="BH49:BL49" si="239">BG49/2039.76*100</f>
        <v>54.967251049143</v>
      </c>
      <c r="BI49" s="8">
        <v>1187.227</v>
      </c>
      <c r="BJ49" s="8">
        <f t="shared" si="239"/>
        <v>58.2042495195513</v>
      </c>
      <c r="BK49" s="8">
        <v>335.4</v>
      </c>
      <c r="BL49" s="8">
        <f t="shared" si="239"/>
        <v>16.4431109542299</v>
      </c>
      <c r="BM49" s="8">
        <f t="shared" si="178"/>
        <v>1666.28571428571</v>
      </c>
      <c r="BN49" s="8">
        <f t="shared" si="221"/>
        <v>81.6902828904241</v>
      </c>
      <c r="BO49" s="7">
        <f t="shared" si="179"/>
        <v>1.48616278477142</v>
      </c>
      <c r="BP49" s="7">
        <f t="shared" si="180"/>
        <v>1.40351062963167</v>
      </c>
      <c r="BQ49" s="7">
        <f t="shared" si="181"/>
        <v>4.96805520061334</v>
      </c>
    </row>
    <row r="50" ht="20.4" spans="1:69">
      <c r="A50" s="1"/>
      <c r="B50" s="2">
        <v>9</v>
      </c>
      <c r="C50" s="2">
        <v>13056</v>
      </c>
      <c r="D50" s="2">
        <v>20224</v>
      </c>
      <c r="E50" s="2">
        <v>1920</v>
      </c>
      <c r="F50" s="2">
        <v>5324</v>
      </c>
      <c r="G50" s="2">
        <v>74.5</v>
      </c>
      <c r="H50" s="2">
        <v>5770</v>
      </c>
      <c r="I50" s="2">
        <v>80.7</v>
      </c>
      <c r="J50" s="5">
        <v>6.2</v>
      </c>
      <c r="K50" s="7">
        <f t="shared" si="188"/>
        <v>1.08377160030053</v>
      </c>
      <c r="L50" s="7">
        <f t="shared" si="189"/>
        <v>1.90811169034224</v>
      </c>
      <c r="M50" s="7">
        <f t="shared" si="190"/>
        <v>1.90065221687858</v>
      </c>
      <c r="N50" s="7">
        <f t="shared" si="191"/>
        <v>2.12928832025205</v>
      </c>
      <c r="O50" s="7">
        <f t="shared" si="192"/>
        <v>21.3672048585395</v>
      </c>
      <c r="P50" s="8">
        <f t="shared" si="193"/>
        <v>3023.932</v>
      </c>
      <c r="Q50" s="8">
        <f t="shared" si="213"/>
        <v>42.3377576164875</v>
      </c>
      <c r="R50" s="8">
        <f t="shared" si="194"/>
        <v>3035.8</v>
      </c>
      <c r="S50" s="8">
        <f t="shared" si="214"/>
        <v>42.5039202508961</v>
      </c>
      <c r="T50" s="8">
        <f t="shared" si="195"/>
        <v>2709.8256</v>
      </c>
      <c r="U50" s="8">
        <f t="shared" si="215"/>
        <v>37.9399865591398</v>
      </c>
      <c r="V50" s="8">
        <f t="shared" si="196"/>
        <v>270.04</v>
      </c>
      <c r="W50" s="8">
        <f t="shared" si="216"/>
        <v>3.78080197132616</v>
      </c>
      <c r="X50" s="1"/>
      <c r="Y50" s="2">
        <v>9</v>
      </c>
      <c r="Z50" s="2">
        <v>351.62</v>
      </c>
      <c r="AA50" s="8">
        <f t="shared" si="197"/>
        <v>46.9577991452991</v>
      </c>
      <c r="AB50" s="2">
        <v>353</v>
      </c>
      <c r="AC50" s="8">
        <f t="shared" ref="AC50:AG50" si="240">AB50/748.8*100</f>
        <v>47.142094017094</v>
      </c>
      <c r="AD50" s="2">
        <v>315.096</v>
      </c>
      <c r="AE50" s="8">
        <f t="shared" si="240"/>
        <v>42.0801282051282</v>
      </c>
      <c r="AF50" s="2">
        <v>31.4</v>
      </c>
      <c r="AG50" s="8">
        <f t="shared" si="240"/>
        <v>4.19337606837607</v>
      </c>
      <c r="AH50" s="8">
        <f t="shared" si="199"/>
        <v>607.368421052632</v>
      </c>
      <c r="AI50" s="8">
        <f t="shared" si="200"/>
        <v>81.1122357174989</v>
      </c>
      <c r="AJ50" s="7">
        <f t="shared" si="201"/>
        <v>1.72734321441508</v>
      </c>
      <c r="AK50" s="7">
        <f t="shared" si="202"/>
        <v>1.72059042791114</v>
      </c>
      <c r="AL50" s="7">
        <f t="shared" si="203"/>
        <v>1.92756626885975</v>
      </c>
      <c r="AM50" s="7">
        <f t="shared" si="204"/>
        <v>19.3429433456252</v>
      </c>
      <c r="AN50" s="1"/>
      <c r="AO50" s="2">
        <v>9</v>
      </c>
      <c r="AP50" s="8">
        <v>1059.98</v>
      </c>
      <c r="AQ50" s="8">
        <f t="shared" ref="AQ50:AU50" si="241">AP50/1728*100</f>
        <v>61.3414351851852</v>
      </c>
      <c r="AR50" s="8">
        <v>645.812</v>
      </c>
      <c r="AS50" s="8">
        <f t="shared" si="241"/>
        <v>37.3733796296296</v>
      </c>
      <c r="AT50" s="8">
        <v>620.334</v>
      </c>
      <c r="AU50" s="8">
        <f t="shared" si="241"/>
        <v>35.8989583333333</v>
      </c>
      <c r="AV50" s="8">
        <v>106.91</v>
      </c>
      <c r="AW50" s="8">
        <f t="shared" si="206"/>
        <v>12.3738425925926</v>
      </c>
      <c r="AX50" s="8">
        <f t="shared" si="207"/>
        <v>1559.45945945946</v>
      </c>
      <c r="AY50" s="8">
        <f t="shared" si="219"/>
        <v>90.2464964964965</v>
      </c>
      <c r="AZ50" s="7">
        <f t="shared" si="208"/>
        <v>1.47121592809247</v>
      </c>
      <c r="BA50" s="7">
        <f t="shared" si="209"/>
        <v>2.41472666884397</v>
      </c>
      <c r="BB50" s="7">
        <f t="shared" si="210"/>
        <v>2.51390292884069</v>
      </c>
      <c r="BC50" s="7">
        <f t="shared" si="211"/>
        <v>14.5866566220135</v>
      </c>
      <c r="BE50" s="1"/>
      <c r="BF50" s="2">
        <v>9</v>
      </c>
      <c r="BG50" s="8">
        <v>1112.03</v>
      </c>
      <c r="BH50" s="8">
        <f t="shared" ref="BH50:BL50" si="242">BG50/2039.76*100</f>
        <v>54.5176883554928</v>
      </c>
      <c r="BI50" s="8">
        <v>1170.776</v>
      </c>
      <c r="BJ50" s="8">
        <f t="shared" si="242"/>
        <v>57.3977330666353</v>
      </c>
      <c r="BK50" s="8">
        <v>334.4</v>
      </c>
      <c r="BL50" s="8">
        <f t="shared" si="242"/>
        <v>16.3940855786955</v>
      </c>
      <c r="BM50" s="8">
        <f t="shared" si="178"/>
        <v>1648.57142857143</v>
      </c>
      <c r="BN50" s="8">
        <f t="shared" si="221"/>
        <v>80.821833380958</v>
      </c>
      <c r="BO50" s="7">
        <f t="shared" si="179"/>
        <v>1.48248826791672</v>
      </c>
      <c r="BP50" s="7">
        <f t="shared" si="180"/>
        <v>1.40810148873177</v>
      </c>
      <c r="BQ50" s="7">
        <f t="shared" si="181"/>
        <v>4.92993848257006</v>
      </c>
    </row>
    <row r="51" ht="20.4" spans="1:69">
      <c r="A51" s="1"/>
      <c r="B51" s="2">
        <v>10</v>
      </c>
      <c r="C51" s="2">
        <v>13056</v>
      </c>
      <c r="D51" s="2">
        <v>25216</v>
      </c>
      <c r="E51" s="2">
        <v>1920</v>
      </c>
      <c r="F51" s="2">
        <v>5374</v>
      </c>
      <c r="G51" s="2">
        <v>75.2</v>
      </c>
      <c r="H51" s="2">
        <v>5809</v>
      </c>
      <c r="I51" s="2">
        <v>81.3</v>
      </c>
      <c r="J51" s="5">
        <v>6</v>
      </c>
      <c r="K51" s="7">
        <f t="shared" si="188"/>
        <v>1.08094529214738</v>
      </c>
      <c r="L51" s="7">
        <f t="shared" si="189"/>
        <v>1.91833550958243</v>
      </c>
      <c r="M51" s="7">
        <f t="shared" si="190"/>
        <v>1.91193361887596</v>
      </c>
      <c r="N51" s="7">
        <f t="shared" si="191"/>
        <v>2.17388473239101</v>
      </c>
      <c r="O51" s="7">
        <f t="shared" si="192"/>
        <v>22.9750039550704</v>
      </c>
      <c r="P51" s="8">
        <f t="shared" si="193"/>
        <v>3028.146</v>
      </c>
      <c r="Q51" s="8">
        <f t="shared" si="213"/>
        <v>42.3967573924731</v>
      </c>
      <c r="R51" s="8">
        <f t="shared" si="194"/>
        <v>3038.2854</v>
      </c>
      <c r="S51" s="8">
        <f t="shared" si="214"/>
        <v>42.538718077957</v>
      </c>
      <c r="T51" s="8">
        <f t="shared" si="195"/>
        <v>2672.1748</v>
      </c>
      <c r="U51" s="8">
        <f t="shared" si="215"/>
        <v>37.4128416218638</v>
      </c>
      <c r="V51" s="8">
        <f t="shared" si="196"/>
        <v>252.84</v>
      </c>
      <c r="W51" s="8">
        <f t="shared" si="216"/>
        <v>3.53998655913978</v>
      </c>
      <c r="X51" s="1"/>
      <c r="Y51" s="2">
        <v>10</v>
      </c>
      <c r="Z51" s="2">
        <v>352.11</v>
      </c>
      <c r="AA51" s="8">
        <f t="shared" si="197"/>
        <v>47.0232371794872</v>
      </c>
      <c r="AB51" s="2">
        <v>353.289</v>
      </c>
      <c r="AC51" s="8">
        <f t="shared" ref="AC51:AG51" si="243">AB51/748.8*100</f>
        <v>47.1806891025641</v>
      </c>
      <c r="AD51" s="2">
        <v>310.718</v>
      </c>
      <c r="AE51" s="8">
        <f t="shared" si="243"/>
        <v>41.4954594017094</v>
      </c>
      <c r="AF51" s="2">
        <v>29.4</v>
      </c>
      <c r="AG51" s="8">
        <f t="shared" si="243"/>
        <v>3.92628205128205</v>
      </c>
      <c r="AH51" s="8">
        <f t="shared" si="199"/>
        <v>611.473684210526</v>
      </c>
      <c r="AI51" s="8">
        <f t="shared" si="200"/>
        <v>81.660481331534</v>
      </c>
      <c r="AJ51" s="7">
        <f t="shared" si="201"/>
        <v>1.7365984613062</v>
      </c>
      <c r="AK51" s="7">
        <f t="shared" si="202"/>
        <v>1.73080306550877</v>
      </c>
      <c r="AL51" s="7">
        <f t="shared" si="203"/>
        <v>1.96793775774344</v>
      </c>
      <c r="AM51" s="7">
        <f t="shared" si="204"/>
        <v>20.7984246330111</v>
      </c>
      <c r="AN51" s="1"/>
      <c r="AO51" s="2">
        <v>10</v>
      </c>
      <c r="AP51" s="8">
        <v>1076.99</v>
      </c>
      <c r="AQ51" s="8">
        <f t="shared" ref="AQ51:AU51" si="244">AP51/1728*100</f>
        <v>62.3258101851852</v>
      </c>
      <c r="AR51" s="8">
        <v>645.549</v>
      </c>
      <c r="AS51" s="8">
        <f t="shared" si="244"/>
        <v>37.3581597222222</v>
      </c>
      <c r="AT51" s="8">
        <v>609.19</v>
      </c>
      <c r="AU51" s="8">
        <f t="shared" si="244"/>
        <v>35.2540509259259</v>
      </c>
      <c r="AV51" s="8">
        <v>113.64</v>
      </c>
      <c r="AW51" s="8">
        <f t="shared" si="206"/>
        <v>13.1527777777778</v>
      </c>
      <c r="AX51" s="8">
        <f t="shared" si="207"/>
        <v>1570</v>
      </c>
      <c r="AY51" s="8">
        <f t="shared" si="219"/>
        <v>90.8564814814815</v>
      </c>
      <c r="AZ51" s="7">
        <f t="shared" si="208"/>
        <v>1.45776655307849</v>
      </c>
      <c r="BA51" s="7">
        <f t="shared" si="209"/>
        <v>2.43203846648357</v>
      </c>
      <c r="BB51" s="7">
        <f t="shared" si="210"/>
        <v>2.57719266567081</v>
      </c>
      <c r="BC51" s="7">
        <f t="shared" si="211"/>
        <v>13.8155579021471</v>
      </c>
      <c r="BE51" s="1"/>
      <c r="BF51" s="2">
        <v>10</v>
      </c>
      <c r="BG51" s="8">
        <v>1117.25</v>
      </c>
      <c r="BH51" s="8">
        <f t="shared" ref="BH51:BL51" si="245">BG51/2039.76*100</f>
        <v>54.7736008157823</v>
      </c>
      <c r="BI51" s="8">
        <v>1169.21</v>
      </c>
      <c r="BJ51" s="8">
        <f t="shared" si="245"/>
        <v>57.3209593285485</v>
      </c>
      <c r="BK51" s="8">
        <v>332.66</v>
      </c>
      <c r="BL51" s="8">
        <f t="shared" si="245"/>
        <v>16.3087814252657</v>
      </c>
      <c r="BM51" s="8">
        <f t="shared" si="178"/>
        <v>1659.71428571429</v>
      </c>
      <c r="BN51" s="8">
        <f t="shared" si="221"/>
        <v>81.3681161369125</v>
      </c>
      <c r="BO51" s="7">
        <f t="shared" si="179"/>
        <v>1.48553527474986</v>
      </c>
      <c r="BP51" s="7">
        <f t="shared" si="180"/>
        <v>1.41951769631998</v>
      </c>
      <c r="BQ51" s="7">
        <f t="shared" si="181"/>
        <v>4.989221083732</v>
      </c>
    </row>
    <row r="52" ht="20.4" spans="1:69">
      <c r="A52" s="1"/>
      <c r="B52" s="2">
        <v>11</v>
      </c>
      <c r="C52" s="2">
        <v>12672</v>
      </c>
      <c r="D52" s="2">
        <v>62464</v>
      </c>
      <c r="E52" s="2">
        <v>1920</v>
      </c>
      <c r="F52" s="2">
        <v>5778</v>
      </c>
      <c r="G52" s="2">
        <v>80.9</v>
      </c>
      <c r="H52" s="2">
        <v>6134</v>
      </c>
      <c r="I52" s="2">
        <v>85.8</v>
      </c>
      <c r="J52" s="5">
        <v>4.9</v>
      </c>
      <c r="K52" s="7">
        <f t="shared" si="188"/>
        <v>1.06161301488404</v>
      </c>
      <c r="L52" s="7">
        <f t="shared" si="189"/>
        <v>2.0095109425635</v>
      </c>
      <c r="M52" s="7">
        <f t="shared" si="190"/>
        <v>2.00238575742902</v>
      </c>
      <c r="N52" s="7">
        <f t="shared" si="191"/>
        <v>2.32584681640712</v>
      </c>
      <c r="O52" s="7">
        <f t="shared" si="192"/>
        <v>28.1919294052762</v>
      </c>
      <c r="P52" s="8">
        <f t="shared" si="193"/>
        <v>3052.484</v>
      </c>
      <c r="Q52" s="8">
        <f t="shared" si="213"/>
        <v>42.7375112007169</v>
      </c>
      <c r="R52" s="8">
        <f t="shared" si="194"/>
        <v>3063.3458</v>
      </c>
      <c r="S52" s="8">
        <f t="shared" si="214"/>
        <v>42.8895861335125</v>
      </c>
      <c r="T52" s="8">
        <f t="shared" si="195"/>
        <v>2637.319</v>
      </c>
      <c r="U52" s="8">
        <f t="shared" si="215"/>
        <v>36.9248291890681</v>
      </c>
      <c r="V52" s="8">
        <f t="shared" si="196"/>
        <v>217.58</v>
      </c>
      <c r="W52" s="8">
        <f t="shared" si="216"/>
        <v>3.04631496415771</v>
      </c>
      <c r="X52" s="1"/>
      <c r="Y52" s="2">
        <v>11</v>
      </c>
      <c r="Z52" s="2">
        <v>354.94</v>
      </c>
      <c r="AA52" s="8">
        <f t="shared" si="197"/>
        <v>47.4011752136752</v>
      </c>
      <c r="AB52" s="2">
        <v>356.203</v>
      </c>
      <c r="AC52" s="8">
        <f t="shared" ref="AC52:AG52" si="246">AB52/748.8*100</f>
        <v>47.5698450854701</v>
      </c>
      <c r="AD52" s="2">
        <v>306.665</v>
      </c>
      <c r="AE52" s="8">
        <f t="shared" si="246"/>
        <v>40.9541933760684</v>
      </c>
      <c r="AF52" s="2">
        <v>25.3</v>
      </c>
      <c r="AG52" s="8">
        <f t="shared" si="246"/>
        <v>3.37873931623932</v>
      </c>
      <c r="AH52" s="8">
        <f t="shared" si="199"/>
        <v>645.684210526316</v>
      </c>
      <c r="AI52" s="8">
        <f t="shared" si="200"/>
        <v>86.2291947818264</v>
      </c>
      <c r="AJ52" s="7">
        <f t="shared" si="201"/>
        <v>1.81913622168906</v>
      </c>
      <c r="AK52" s="7">
        <f t="shared" si="202"/>
        <v>1.81268605409364</v>
      </c>
      <c r="AL52" s="7">
        <f t="shared" si="203"/>
        <v>2.10550343380013</v>
      </c>
      <c r="AM52" s="7">
        <f t="shared" si="204"/>
        <v>25.5211150405658</v>
      </c>
      <c r="AN52" s="1"/>
      <c r="AO52" s="2">
        <v>11</v>
      </c>
      <c r="AP52" s="8">
        <v>1090.68</v>
      </c>
      <c r="AQ52" s="8">
        <f t="shared" ref="AQ52:AU52" si="247">AP52/1728*100</f>
        <v>63.1180555555556</v>
      </c>
      <c r="AR52" s="8">
        <v>624.938</v>
      </c>
      <c r="AS52" s="8">
        <f t="shared" si="247"/>
        <v>36.1653935185185</v>
      </c>
      <c r="AT52" s="8">
        <v>613.064</v>
      </c>
      <c r="AU52" s="8">
        <f t="shared" si="247"/>
        <v>35.4782407407407</v>
      </c>
      <c r="AV52" s="8">
        <v>154.03</v>
      </c>
      <c r="AW52" s="8">
        <f t="shared" si="206"/>
        <v>17.8275462962963</v>
      </c>
      <c r="AX52" s="8">
        <f t="shared" si="207"/>
        <v>1657.83783783784</v>
      </c>
      <c r="AY52" s="8">
        <f t="shared" si="219"/>
        <v>95.9396896896897</v>
      </c>
      <c r="AZ52" s="7">
        <f t="shared" si="208"/>
        <v>1.52000388550064</v>
      </c>
      <c r="BA52" s="7">
        <f t="shared" si="209"/>
        <v>2.65280369866745</v>
      </c>
      <c r="BB52" s="7">
        <f t="shared" si="210"/>
        <v>2.70418396421554</v>
      </c>
      <c r="BC52" s="7">
        <f t="shared" si="211"/>
        <v>10.7630840604937</v>
      </c>
      <c r="BE52" s="1"/>
      <c r="BF52" s="2">
        <v>11</v>
      </c>
      <c r="BG52" s="8">
        <v>1133.67</v>
      </c>
      <c r="BH52" s="8">
        <f t="shared" ref="BH52:BL52" si="248">BG52/2039.76*100</f>
        <v>55.5785974820567</v>
      </c>
      <c r="BI52" s="8">
        <v>1184.061</v>
      </c>
      <c r="BJ52" s="8">
        <f t="shared" si="248"/>
        <v>58.0490351806095</v>
      </c>
      <c r="BK52" s="8">
        <v>340.15</v>
      </c>
      <c r="BL52" s="8">
        <f t="shared" si="248"/>
        <v>16.6759814880182</v>
      </c>
      <c r="BM52" s="8">
        <f t="shared" si="178"/>
        <v>1752.57142857143</v>
      </c>
      <c r="BN52" s="8">
        <f t="shared" si="221"/>
        <v>85.9204724365332</v>
      </c>
      <c r="BO52" s="7">
        <f t="shared" si="179"/>
        <v>1.54592732326994</v>
      </c>
      <c r="BP52" s="7">
        <f t="shared" si="180"/>
        <v>1.48013609820054</v>
      </c>
      <c r="BQ52" s="7">
        <f t="shared" si="181"/>
        <v>5.1523487537011</v>
      </c>
    </row>
    <row r="53" ht="20.4" spans="1:69">
      <c r="A53" s="1"/>
      <c r="B53" s="2">
        <v>12</v>
      </c>
      <c r="C53" s="2">
        <v>12672</v>
      </c>
      <c r="D53" s="2">
        <v>73984</v>
      </c>
      <c r="E53" s="2">
        <v>1920</v>
      </c>
      <c r="F53" s="2">
        <v>5751</v>
      </c>
      <c r="G53" s="2">
        <v>80.5</v>
      </c>
      <c r="H53" s="2">
        <v>6119</v>
      </c>
      <c r="I53" s="2">
        <v>85.6</v>
      </c>
      <c r="J53" s="5">
        <v>5.1</v>
      </c>
      <c r="K53" s="7">
        <f t="shared" si="188"/>
        <v>1.06398887150061</v>
      </c>
      <c r="L53" s="7">
        <f t="shared" si="189"/>
        <v>2.00776462528071</v>
      </c>
      <c r="M53" s="7">
        <f t="shared" si="190"/>
        <v>2.00199106337887</v>
      </c>
      <c r="N53" s="7">
        <f t="shared" si="191"/>
        <v>2.27061028764948</v>
      </c>
      <c r="O53" s="7">
        <f t="shared" si="192"/>
        <v>25.7887505584261</v>
      </c>
      <c r="P53" s="8">
        <f t="shared" si="193"/>
        <v>3047.668</v>
      </c>
      <c r="Q53" s="8">
        <f t="shared" si="213"/>
        <v>42.6700828853047</v>
      </c>
      <c r="R53" s="8">
        <f t="shared" si="194"/>
        <v>3056.4572</v>
      </c>
      <c r="S53" s="8">
        <f t="shared" si="214"/>
        <v>42.7931395609319</v>
      </c>
      <c r="T53" s="8">
        <f t="shared" si="195"/>
        <v>2694.8702</v>
      </c>
      <c r="U53" s="8">
        <f t="shared" si="215"/>
        <v>37.7305975582437</v>
      </c>
      <c r="V53" s="8">
        <f t="shared" si="196"/>
        <v>237.274</v>
      </c>
      <c r="W53" s="8">
        <f t="shared" si="216"/>
        <v>3.32204861111111</v>
      </c>
      <c r="X53" s="1"/>
      <c r="Y53" s="2">
        <v>12</v>
      </c>
      <c r="Z53" s="2">
        <v>354.38</v>
      </c>
      <c r="AA53" s="8">
        <f t="shared" si="197"/>
        <v>47.3263888888889</v>
      </c>
      <c r="AB53" s="2">
        <v>355.402</v>
      </c>
      <c r="AC53" s="8">
        <f t="shared" ref="AC53:AG53" si="249">AB53/748.8*100</f>
        <v>47.4628739316239</v>
      </c>
      <c r="AD53" s="2">
        <v>313.357</v>
      </c>
      <c r="AE53" s="8">
        <f t="shared" si="249"/>
        <v>41.847889957265</v>
      </c>
      <c r="AF53" s="2">
        <v>27.59</v>
      </c>
      <c r="AG53" s="8">
        <f t="shared" si="249"/>
        <v>3.68456196581197</v>
      </c>
      <c r="AH53" s="8">
        <f t="shared" si="199"/>
        <v>644.105263157895</v>
      </c>
      <c r="AI53" s="8">
        <f t="shared" si="200"/>
        <v>86.0183310841206</v>
      </c>
      <c r="AJ53" s="7">
        <f t="shared" si="201"/>
        <v>1.81755534499096</v>
      </c>
      <c r="AK53" s="7">
        <f t="shared" si="202"/>
        <v>1.8123287521114</v>
      </c>
      <c r="AL53" s="7">
        <f t="shared" si="203"/>
        <v>2.05549983934584</v>
      </c>
      <c r="AM53" s="7">
        <f t="shared" si="204"/>
        <v>23.3456057686805</v>
      </c>
      <c r="AN53" s="1"/>
      <c r="AO53" s="2">
        <v>12</v>
      </c>
      <c r="AP53" s="8">
        <v>1090.34</v>
      </c>
      <c r="AQ53" s="8">
        <f t="shared" ref="AQ53:AU53" si="250">AP53/1728*100</f>
        <v>63.0983796296296</v>
      </c>
      <c r="AR53" s="8">
        <v>633.228</v>
      </c>
      <c r="AS53" s="8">
        <f t="shared" si="250"/>
        <v>36.6451388888889</v>
      </c>
      <c r="AT53" s="8">
        <v>613.958</v>
      </c>
      <c r="AU53" s="8">
        <f t="shared" si="250"/>
        <v>35.5299768518518</v>
      </c>
      <c r="AV53" s="8">
        <v>145.12</v>
      </c>
      <c r="AW53" s="8">
        <f t="shared" si="206"/>
        <v>16.7962962962963</v>
      </c>
      <c r="AX53" s="8">
        <f t="shared" si="207"/>
        <v>1653.78378378378</v>
      </c>
      <c r="AY53" s="8">
        <f t="shared" si="219"/>
        <v>95.7050800800801</v>
      </c>
      <c r="AZ53" s="7">
        <f t="shared" si="208"/>
        <v>1.51675971145128</v>
      </c>
      <c r="BA53" s="7">
        <f t="shared" si="209"/>
        <v>2.61167191561931</v>
      </c>
      <c r="BB53" s="7">
        <f t="shared" si="210"/>
        <v>2.69364318696683</v>
      </c>
      <c r="BC53" s="7">
        <f t="shared" si="211"/>
        <v>11.3959742542984</v>
      </c>
      <c r="BE53" s="1"/>
      <c r="BF53" s="2">
        <v>12</v>
      </c>
      <c r="BG53" s="8">
        <v>1166.96</v>
      </c>
      <c r="BH53" s="8">
        <f t="shared" ref="BH53:BL53" si="251">BG53/2039.76*100</f>
        <v>57.2106522335961</v>
      </c>
      <c r="BI53" s="8">
        <v>1181.113</v>
      </c>
      <c r="BJ53" s="8">
        <f t="shared" si="251"/>
        <v>57.9045083735341</v>
      </c>
      <c r="BK53" s="8">
        <v>317.49</v>
      </c>
      <c r="BL53" s="8">
        <f t="shared" si="251"/>
        <v>15.5650664784092</v>
      </c>
      <c r="BM53" s="8">
        <f t="shared" si="178"/>
        <v>1748.28571428571</v>
      </c>
      <c r="BN53" s="8">
        <f t="shared" si="221"/>
        <v>85.710363684243</v>
      </c>
      <c r="BO53" s="7">
        <f t="shared" si="179"/>
        <v>1.49815393354161</v>
      </c>
      <c r="BP53" s="7">
        <f t="shared" si="180"/>
        <v>1.48020190641007</v>
      </c>
      <c r="BQ53" s="7">
        <f t="shared" si="181"/>
        <v>5.50658513428994</v>
      </c>
    </row>
    <row r="54" ht="20.4" spans="1:69">
      <c r="A54" s="1"/>
      <c r="B54" s="2">
        <v>13</v>
      </c>
      <c r="C54" s="2">
        <v>12672</v>
      </c>
      <c r="D54" s="2">
        <v>64000</v>
      </c>
      <c r="E54" s="2">
        <v>1920</v>
      </c>
      <c r="F54" s="2">
        <v>5767</v>
      </c>
      <c r="G54" s="2">
        <v>80.7</v>
      </c>
      <c r="H54" s="2">
        <v>6102</v>
      </c>
      <c r="I54" s="2">
        <v>85.4</v>
      </c>
      <c r="J54" s="5">
        <v>4.7</v>
      </c>
      <c r="K54" s="7">
        <f t="shared" si="188"/>
        <v>1.05808912779608</v>
      </c>
      <c r="L54" s="7">
        <f t="shared" si="189"/>
        <v>2.01864884839094</v>
      </c>
      <c r="M54" s="7">
        <f t="shared" si="190"/>
        <v>2.00217529028261</v>
      </c>
      <c r="N54" s="7">
        <f t="shared" si="191"/>
        <v>2.24892197692846</v>
      </c>
      <c r="O54" s="7">
        <f t="shared" si="192"/>
        <v>28.6218186252896</v>
      </c>
      <c r="P54" s="8">
        <f t="shared" si="193"/>
        <v>3022.814</v>
      </c>
      <c r="Q54" s="8">
        <f t="shared" si="213"/>
        <v>42.3221046146953</v>
      </c>
      <c r="R54" s="8">
        <f t="shared" si="194"/>
        <v>3047.6852</v>
      </c>
      <c r="S54" s="8">
        <f t="shared" si="214"/>
        <v>42.6703237007168</v>
      </c>
      <c r="T54" s="8">
        <f t="shared" si="195"/>
        <v>2713.3</v>
      </c>
      <c r="U54" s="8">
        <f t="shared" si="215"/>
        <v>37.9886312724014</v>
      </c>
      <c r="V54" s="8">
        <f t="shared" si="196"/>
        <v>213.194</v>
      </c>
      <c r="W54" s="8">
        <f t="shared" si="216"/>
        <v>2.98490703405018</v>
      </c>
      <c r="X54" s="1"/>
      <c r="Y54" s="2">
        <v>13</v>
      </c>
      <c r="Z54" s="2">
        <v>351.49</v>
      </c>
      <c r="AA54" s="8">
        <f t="shared" si="197"/>
        <v>46.940438034188</v>
      </c>
      <c r="AB54" s="2">
        <v>354.382</v>
      </c>
      <c r="AC54" s="8">
        <f t="shared" ref="AC54:AG54" si="252">AB54/748.8*100</f>
        <v>47.326655982906</v>
      </c>
      <c r="AD54" s="2">
        <v>315.5</v>
      </c>
      <c r="AE54" s="8">
        <f t="shared" si="252"/>
        <v>42.1340811965812</v>
      </c>
      <c r="AF54" s="2">
        <v>24.79</v>
      </c>
      <c r="AG54" s="8">
        <f t="shared" si="252"/>
        <v>3.31063034188034</v>
      </c>
      <c r="AH54" s="8">
        <f t="shared" si="199"/>
        <v>642.315789473684</v>
      </c>
      <c r="AI54" s="8">
        <f t="shared" si="200"/>
        <v>85.7793522267206</v>
      </c>
      <c r="AJ54" s="7">
        <f t="shared" si="201"/>
        <v>1.82740843117495</v>
      </c>
      <c r="AK54" s="7">
        <f t="shared" si="202"/>
        <v>1.81249552594004</v>
      </c>
      <c r="AL54" s="7">
        <f t="shared" si="203"/>
        <v>2.03586621069314</v>
      </c>
      <c r="AM54" s="7">
        <f t="shared" si="204"/>
        <v>25.9102779134201</v>
      </c>
      <c r="AN54" s="1"/>
      <c r="AO54" s="2">
        <v>13</v>
      </c>
      <c r="AP54" s="8">
        <v>1111.72</v>
      </c>
      <c r="AQ54" s="8">
        <f t="shared" ref="AQ54:AU54" si="253">AP54/1728*100</f>
        <v>64.3356481481482</v>
      </c>
      <c r="AR54" s="8">
        <v>630.415</v>
      </c>
      <c r="AS54" s="8">
        <f t="shared" si="253"/>
        <v>36.482349537037</v>
      </c>
      <c r="AT54" s="8">
        <v>606.643</v>
      </c>
      <c r="AU54" s="8">
        <f t="shared" si="253"/>
        <v>35.1066550925926</v>
      </c>
      <c r="AV54" s="8">
        <v>147.31</v>
      </c>
      <c r="AW54" s="8">
        <f t="shared" si="206"/>
        <v>17.0497685185185</v>
      </c>
      <c r="AX54" s="8">
        <f t="shared" si="207"/>
        <v>1649.18918918919</v>
      </c>
      <c r="AY54" s="8">
        <f t="shared" si="219"/>
        <v>95.4391891891892</v>
      </c>
      <c r="AZ54" s="7">
        <f t="shared" si="208"/>
        <v>1.48345733565033</v>
      </c>
      <c r="BA54" s="7">
        <f t="shared" si="209"/>
        <v>2.61603735505848</v>
      </c>
      <c r="BB54" s="7">
        <f t="shared" si="210"/>
        <v>2.71854977175899</v>
      </c>
      <c r="BC54" s="7">
        <f t="shared" si="211"/>
        <v>11.1953648034023</v>
      </c>
      <c r="BE54" s="1"/>
      <c r="BF54" s="2">
        <v>13</v>
      </c>
      <c r="BG54" s="8">
        <v>1147.4</v>
      </c>
      <c r="BH54" s="8">
        <f t="shared" ref="BH54:BL54" si="254">BG54/2039.76*100</f>
        <v>56.2517158881437</v>
      </c>
      <c r="BI54" s="8">
        <v>1183.398</v>
      </c>
      <c r="BJ54" s="8">
        <f t="shared" si="254"/>
        <v>58.0165313566302</v>
      </c>
      <c r="BK54" s="8">
        <v>321.97</v>
      </c>
      <c r="BL54" s="8">
        <f t="shared" si="254"/>
        <v>15.7847001608032</v>
      </c>
      <c r="BM54" s="8">
        <f t="shared" si="178"/>
        <v>1743.42857142857</v>
      </c>
      <c r="BN54" s="8">
        <f t="shared" si="221"/>
        <v>85.4722404316474</v>
      </c>
      <c r="BO54" s="7">
        <f t="shared" si="179"/>
        <v>1.51946014591997</v>
      </c>
      <c r="BP54" s="7">
        <f t="shared" si="180"/>
        <v>1.47323941009582</v>
      </c>
      <c r="BQ54" s="7">
        <f t="shared" si="181"/>
        <v>5.4148789372568</v>
      </c>
    </row>
    <row r="55" spans="11:69">
      <c r="K55">
        <f>MAX(K42:K54)</f>
        <v>1.12259059367772</v>
      </c>
      <c r="L55">
        <f>MAX(L42:L54)</f>
        <v>2.01864884839094</v>
      </c>
      <c r="M55">
        <f>MAX(M42:M54)</f>
        <v>2.00238575742902</v>
      </c>
      <c r="N55">
        <f>MAX(N42:N54)</f>
        <v>2.32584681640712</v>
      </c>
      <c r="O55">
        <f>MAX(O42:O54)</f>
        <v>28.6218186252896</v>
      </c>
      <c r="AJ55">
        <f>MAX(AJ42:AJ54)</f>
        <v>1.82740843117495</v>
      </c>
      <c r="AK55">
        <f>MAX(AK42:AK54)</f>
        <v>1.81268605409364</v>
      </c>
      <c r="AL55">
        <f>MAX(AL42:AL54)</f>
        <v>2.10550343380013</v>
      </c>
      <c r="AM55">
        <f>MAX(AM42:AM54)</f>
        <v>25.9102779134201</v>
      </c>
      <c r="AZ55">
        <f>MAX(AZ42:AZ54)</f>
        <v>1.54795552392075</v>
      </c>
      <c r="BA55">
        <f>MAX(BA42:BA54)</f>
        <v>2.65280369866745</v>
      </c>
      <c r="BB55">
        <f>MAX(BB42:BB54)</f>
        <v>2.71854977175899</v>
      </c>
      <c r="BC55">
        <f>MAX(BC42:BC54)</f>
        <v>14.5866566220135</v>
      </c>
      <c r="BO55">
        <f>MAX(BO42:BO54)</f>
        <v>1.54592732326994</v>
      </c>
      <c r="BP55">
        <f>MAX(BP42:BP54)</f>
        <v>1.48020190641007</v>
      </c>
      <c r="BQ55">
        <f>MAX(BQ42:BQ54)</f>
        <v>5.50658513428994</v>
      </c>
    </row>
  </sheetData>
  <mergeCells count="16">
    <mergeCell ref="F2:V2"/>
    <mergeCell ref="Z2:AM2"/>
    <mergeCell ref="AP2:BC2"/>
    <mergeCell ref="BF2:BR2"/>
    <mergeCell ref="A3:A25"/>
    <mergeCell ref="A27:A39"/>
    <mergeCell ref="A42:A54"/>
    <mergeCell ref="X3:X25"/>
    <mergeCell ref="X27:X39"/>
    <mergeCell ref="X42:X54"/>
    <mergeCell ref="AN3:AN25"/>
    <mergeCell ref="AN27:AN39"/>
    <mergeCell ref="AN42:AN54"/>
    <mergeCell ref="BE3:BE25"/>
    <mergeCell ref="BE27:BE39"/>
    <mergeCell ref="BE41:BE5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9.1428571428571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K=384</vt:lpstr>
      <vt:lpstr>实验结果-k=384</vt:lpstr>
      <vt:lpstr>K=1920</vt:lpstr>
      <vt:lpstr>实验结果-k=1920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XiaoHai</dc:creator>
  <cp:lastModifiedBy>っ小情绪〃围绕耳畔♂</cp:lastModifiedBy>
  <dcterms:created xsi:type="dcterms:W3CDTF">2015-06-07T10:19:00Z</dcterms:created>
  <dcterms:modified xsi:type="dcterms:W3CDTF">2025-12-31T11:32:02Z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4B46D04611956C04DAA7156904651FC1_43</vt:lpwstr>
  </property>
  <property fmtid="{D5CDD505-2E9C-101B-9397-08002B2CF9AE}" pid="3" name="KSOProductBuildVer">
    <vt:lpwstr>2052-7.5.1.8994</vt:lpwstr>
  </property>
</Properties>
</file>